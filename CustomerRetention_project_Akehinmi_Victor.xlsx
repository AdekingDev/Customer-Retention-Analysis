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/>
  <mc:AlternateContent xmlns:mc="http://schemas.openxmlformats.org/markup-compatibility/2006">
    <mc:Choice Requires="x15">
      <x15ac:absPath xmlns:x15ac="http://schemas.microsoft.com/office/spreadsheetml/2010/11/ac" url="/Users/adeking/Downloads/"/>
    </mc:Choice>
  </mc:AlternateContent>
  <xr:revisionPtr revIDLastSave="0" documentId="13_ncr:1_{DDF8185B-4742-EA40-ADB7-9D2C17D31F65}" xr6:coauthVersionLast="47" xr6:coauthVersionMax="47" xr10:uidLastSave="{00000000-0000-0000-0000-000000000000}"/>
  <bookViews>
    <workbookView xWindow="0" yWindow="500" windowWidth="28800" windowHeight="16560" activeTab="1" xr2:uid="{00000000-000D-0000-FFFF-FFFF00000000}"/>
  </bookViews>
  <sheets>
    <sheet name="Customers" sheetId="2" r:id="rId1"/>
    <sheet name="Sheet1" sheetId="4" r:id="rId2"/>
    <sheet name="Dashboard" sheetId="5" r:id="rId3"/>
    <sheet name="Summary" sheetId="3" r:id="rId4"/>
  </sheets>
  <definedNames>
    <definedName name="_xlnm._FilterDatabase" localSheetId="0" hidden="1">Customers!$A$1:$S$328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7" i="3"/>
  <c r="B6" i="3"/>
  <c r="B2" i="3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O328" i="2"/>
  <c r="M328" i="2"/>
  <c r="K328" i="2"/>
  <c r="I328" i="2"/>
  <c r="G328" i="2"/>
  <c r="E328" i="2"/>
  <c r="O327" i="2"/>
  <c r="M327" i="2"/>
  <c r="K327" i="2"/>
  <c r="I327" i="2"/>
  <c r="G327" i="2"/>
  <c r="E327" i="2"/>
  <c r="O326" i="2"/>
  <c r="M326" i="2"/>
  <c r="K326" i="2"/>
  <c r="I326" i="2"/>
  <c r="G326" i="2"/>
  <c r="E326" i="2"/>
  <c r="O325" i="2"/>
  <c r="M325" i="2"/>
  <c r="K325" i="2"/>
  <c r="I325" i="2"/>
  <c r="G325" i="2"/>
  <c r="E325" i="2"/>
  <c r="O324" i="2"/>
  <c r="M324" i="2"/>
  <c r="K324" i="2"/>
  <c r="I324" i="2"/>
  <c r="G324" i="2"/>
  <c r="E324" i="2"/>
  <c r="O323" i="2"/>
  <c r="M323" i="2"/>
  <c r="K323" i="2"/>
  <c r="I323" i="2"/>
  <c r="G323" i="2"/>
  <c r="E323" i="2"/>
  <c r="O322" i="2"/>
  <c r="M322" i="2"/>
  <c r="K322" i="2"/>
  <c r="I322" i="2"/>
  <c r="G322" i="2"/>
  <c r="E322" i="2"/>
  <c r="O321" i="2"/>
  <c r="M321" i="2"/>
  <c r="K321" i="2"/>
  <c r="I321" i="2"/>
  <c r="G321" i="2"/>
  <c r="E321" i="2"/>
  <c r="O320" i="2"/>
  <c r="M320" i="2"/>
  <c r="K320" i="2"/>
  <c r="I320" i="2"/>
  <c r="G320" i="2"/>
  <c r="E320" i="2"/>
  <c r="O319" i="2"/>
  <c r="M319" i="2"/>
  <c r="K319" i="2"/>
  <c r="I319" i="2"/>
  <c r="G319" i="2"/>
  <c r="E319" i="2"/>
  <c r="O318" i="2"/>
  <c r="M318" i="2"/>
  <c r="K318" i="2"/>
  <c r="I318" i="2"/>
  <c r="G318" i="2"/>
  <c r="E318" i="2"/>
  <c r="O317" i="2"/>
  <c r="M317" i="2"/>
  <c r="K317" i="2"/>
  <c r="I317" i="2"/>
  <c r="G317" i="2"/>
  <c r="E317" i="2"/>
  <c r="O316" i="2"/>
  <c r="M316" i="2"/>
  <c r="K316" i="2"/>
  <c r="I316" i="2"/>
  <c r="G316" i="2"/>
  <c r="E316" i="2"/>
  <c r="O315" i="2"/>
  <c r="M315" i="2"/>
  <c r="K315" i="2"/>
  <c r="I315" i="2"/>
  <c r="G315" i="2"/>
  <c r="E315" i="2"/>
  <c r="O314" i="2"/>
  <c r="M314" i="2"/>
  <c r="K314" i="2"/>
  <c r="I314" i="2"/>
  <c r="G314" i="2"/>
  <c r="E314" i="2"/>
  <c r="O313" i="2"/>
  <c r="M313" i="2"/>
  <c r="K313" i="2"/>
  <c r="I313" i="2"/>
  <c r="G313" i="2"/>
  <c r="E313" i="2"/>
  <c r="O312" i="2"/>
  <c r="M312" i="2"/>
  <c r="K312" i="2"/>
  <c r="I312" i="2"/>
  <c r="G312" i="2"/>
  <c r="E312" i="2"/>
  <c r="O311" i="2"/>
  <c r="M311" i="2"/>
  <c r="K311" i="2"/>
  <c r="I311" i="2"/>
  <c r="G311" i="2"/>
  <c r="E311" i="2"/>
  <c r="O310" i="2"/>
  <c r="M310" i="2"/>
  <c r="K310" i="2"/>
  <c r="I310" i="2"/>
  <c r="G310" i="2"/>
  <c r="E310" i="2"/>
  <c r="O309" i="2"/>
  <c r="M309" i="2"/>
  <c r="K309" i="2"/>
  <c r="I309" i="2"/>
  <c r="G309" i="2"/>
  <c r="E309" i="2"/>
  <c r="O308" i="2"/>
  <c r="M308" i="2"/>
  <c r="K308" i="2"/>
  <c r="I308" i="2"/>
  <c r="G308" i="2"/>
  <c r="E308" i="2"/>
  <c r="O307" i="2"/>
  <c r="M307" i="2"/>
  <c r="K307" i="2"/>
  <c r="I307" i="2"/>
  <c r="G307" i="2"/>
  <c r="E307" i="2"/>
  <c r="O306" i="2"/>
  <c r="M306" i="2"/>
  <c r="K306" i="2"/>
  <c r="I306" i="2"/>
  <c r="G306" i="2"/>
  <c r="E306" i="2"/>
  <c r="O305" i="2"/>
  <c r="M305" i="2"/>
  <c r="K305" i="2"/>
  <c r="I305" i="2"/>
  <c r="G305" i="2"/>
  <c r="E305" i="2"/>
  <c r="O304" i="2"/>
  <c r="M304" i="2"/>
  <c r="K304" i="2"/>
  <c r="I304" i="2"/>
  <c r="G304" i="2"/>
  <c r="E304" i="2"/>
  <c r="O303" i="2"/>
  <c r="M303" i="2"/>
  <c r="K303" i="2"/>
  <c r="I303" i="2"/>
  <c r="G303" i="2"/>
  <c r="E303" i="2"/>
  <c r="O302" i="2"/>
  <c r="M302" i="2"/>
  <c r="K302" i="2"/>
  <c r="I302" i="2"/>
  <c r="G302" i="2"/>
  <c r="E302" i="2"/>
  <c r="O301" i="2"/>
  <c r="M301" i="2"/>
  <c r="K301" i="2"/>
  <c r="I301" i="2"/>
  <c r="G301" i="2"/>
  <c r="E301" i="2"/>
  <c r="O300" i="2"/>
  <c r="M300" i="2"/>
  <c r="K300" i="2"/>
  <c r="I300" i="2"/>
  <c r="G300" i="2"/>
  <c r="E300" i="2"/>
  <c r="O299" i="2"/>
  <c r="M299" i="2"/>
  <c r="K299" i="2"/>
  <c r="I299" i="2"/>
  <c r="G299" i="2"/>
  <c r="E299" i="2"/>
  <c r="O298" i="2"/>
  <c r="M298" i="2"/>
  <c r="K298" i="2"/>
  <c r="I298" i="2"/>
  <c r="G298" i="2"/>
  <c r="E298" i="2"/>
  <c r="O297" i="2"/>
  <c r="M297" i="2"/>
  <c r="K297" i="2"/>
  <c r="I297" i="2"/>
  <c r="G297" i="2"/>
  <c r="E297" i="2"/>
  <c r="O296" i="2"/>
  <c r="M296" i="2"/>
  <c r="K296" i="2"/>
  <c r="I296" i="2"/>
  <c r="G296" i="2"/>
  <c r="E296" i="2"/>
  <c r="O295" i="2"/>
  <c r="M295" i="2"/>
  <c r="K295" i="2"/>
  <c r="I295" i="2"/>
  <c r="G295" i="2"/>
  <c r="E295" i="2"/>
  <c r="O294" i="2"/>
  <c r="M294" i="2"/>
  <c r="K294" i="2"/>
  <c r="I294" i="2"/>
  <c r="G294" i="2"/>
  <c r="E294" i="2"/>
  <c r="O293" i="2"/>
  <c r="M293" i="2"/>
  <c r="K293" i="2"/>
  <c r="I293" i="2"/>
  <c r="G293" i="2"/>
  <c r="E293" i="2"/>
  <c r="O292" i="2"/>
  <c r="M292" i="2"/>
  <c r="K292" i="2"/>
  <c r="I292" i="2"/>
  <c r="G292" i="2"/>
  <c r="E292" i="2"/>
  <c r="O291" i="2"/>
  <c r="M291" i="2"/>
  <c r="K291" i="2"/>
  <c r="I291" i="2"/>
  <c r="G291" i="2"/>
  <c r="E291" i="2"/>
  <c r="O290" i="2"/>
  <c r="M290" i="2"/>
  <c r="K290" i="2"/>
  <c r="I290" i="2"/>
  <c r="G290" i="2"/>
  <c r="E290" i="2"/>
  <c r="O289" i="2"/>
  <c r="M289" i="2"/>
  <c r="K289" i="2"/>
  <c r="I289" i="2"/>
  <c r="G289" i="2"/>
  <c r="E289" i="2"/>
  <c r="O288" i="2"/>
  <c r="M288" i="2"/>
  <c r="K288" i="2"/>
  <c r="I288" i="2"/>
  <c r="G288" i="2"/>
  <c r="E288" i="2"/>
  <c r="O287" i="2"/>
  <c r="M287" i="2"/>
  <c r="K287" i="2"/>
  <c r="I287" i="2"/>
  <c r="G287" i="2"/>
  <c r="E287" i="2"/>
  <c r="O286" i="2"/>
  <c r="M286" i="2"/>
  <c r="K286" i="2"/>
  <c r="I286" i="2"/>
  <c r="G286" i="2"/>
  <c r="E286" i="2"/>
  <c r="O285" i="2"/>
  <c r="M285" i="2"/>
  <c r="K285" i="2"/>
  <c r="I285" i="2"/>
  <c r="G285" i="2"/>
  <c r="E285" i="2"/>
  <c r="O284" i="2"/>
  <c r="M284" i="2"/>
  <c r="K284" i="2"/>
  <c r="I284" i="2"/>
  <c r="G284" i="2"/>
  <c r="E284" i="2"/>
  <c r="O283" i="2"/>
  <c r="M283" i="2"/>
  <c r="K283" i="2"/>
  <c r="I283" i="2"/>
  <c r="G283" i="2"/>
  <c r="E283" i="2"/>
  <c r="O282" i="2"/>
  <c r="M282" i="2"/>
  <c r="K282" i="2"/>
  <c r="I282" i="2"/>
  <c r="G282" i="2"/>
  <c r="E282" i="2"/>
  <c r="O281" i="2"/>
  <c r="M281" i="2"/>
  <c r="K281" i="2"/>
  <c r="I281" i="2"/>
  <c r="G281" i="2"/>
  <c r="E281" i="2"/>
  <c r="O280" i="2"/>
  <c r="M280" i="2"/>
  <c r="K280" i="2"/>
  <c r="I280" i="2"/>
  <c r="G280" i="2"/>
  <c r="E280" i="2"/>
  <c r="O279" i="2"/>
  <c r="M279" i="2"/>
  <c r="K279" i="2"/>
  <c r="I279" i="2"/>
  <c r="G279" i="2"/>
  <c r="E279" i="2"/>
  <c r="O278" i="2"/>
  <c r="M278" i="2"/>
  <c r="K278" i="2"/>
  <c r="I278" i="2"/>
  <c r="G278" i="2"/>
  <c r="E278" i="2"/>
  <c r="O277" i="2"/>
  <c r="M277" i="2"/>
  <c r="K277" i="2"/>
  <c r="I277" i="2"/>
  <c r="G277" i="2"/>
  <c r="E277" i="2"/>
  <c r="O276" i="2"/>
  <c r="M276" i="2"/>
  <c r="K276" i="2"/>
  <c r="I276" i="2"/>
  <c r="G276" i="2"/>
  <c r="E276" i="2"/>
  <c r="O275" i="2"/>
  <c r="M275" i="2"/>
  <c r="K275" i="2"/>
  <c r="I275" i="2"/>
  <c r="G275" i="2"/>
  <c r="E275" i="2"/>
  <c r="O274" i="2"/>
  <c r="M274" i="2"/>
  <c r="K274" i="2"/>
  <c r="I274" i="2"/>
  <c r="G274" i="2"/>
  <c r="E274" i="2"/>
  <c r="O273" i="2"/>
  <c r="M273" i="2"/>
  <c r="K273" i="2"/>
  <c r="I273" i="2"/>
  <c r="G273" i="2"/>
  <c r="E273" i="2"/>
  <c r="O272" i="2"/>
  <c r="M272" i="2"/>
  <c r="K272" i="2"/>
  <c r="I272" i="2"/>
  <c r="G272" i="2"/>
  <c r="E272" i="2"/>
  <c r="O271" i="2"/>
  <c r="M271" i="2"/>
  <c r="K271" i="2"/>
  <c r="I271" i="2"/>
  <c r="G271" i="2"/>
  <c r="E271" i="2"/>
  <c r="O270" i="2"/>
  <c r="M270" i="2"/>
  <c r="K270" i="2"/>
  <c r="I270" i="2"/>
  <c r="G270" i="2"/>
  <c r="E270" i="2"/>
  <c r="O269" i="2"/>
  <c r="M269" i="2"/>
  <c r="K269" i="2"/>
  <c r="I269" i="2"/>
  <c r="G269" i="2"/>
  <c r="E269" i="2"/>
  <c r="O268" i="2"/>
  <c r="M268" i="2"/>
  <c r="K268" i="2"/>
  <c r="I268" i="2"/>
  <c r="G268" i="2"/>
  <c r="E268" i="2"/>
  <c r="O267" i="2"/>
  <c r="M267" i="2"/>
  <c r="K267" i="2"/>
  <c r="I267" i="2"/>
  <c r="G267" i="2"/>
  <c r="E267" i="2"/>
  <c r="O266" i="2"/>
  <c r="M266" i="2"/>
  <c r="K266" i="2"/>
  <c r="I266" i="2"/>
  <c r="G266" i="2"/>
  <c r="E266" i="2"/>
  <c r="O265" i="2"/>
  <c r="M265" i="2"/>
  <c r="K265" i="2"/>
  <c r="I265" i="2"/>
  <c r="G265" i="2"/>
  <c r="E265" i="2"/>
  <c r="O264" i="2"/>
  <c r="M264" i="2"/>
  <c r="K264" i="2"/>
  <c r="I264" i="2"/>
  <c r="G264" i="2"/>
  <c r="E264" i="2"/>
  <c r="O263" i="2"/>
  <c r="M263" i="2"/>
  <c r="K263" i="2"/>
  <c r="I263" i="2"/>
  <c r="G263" i="2"/>
  <c r="E263" i="2"/>
  <c r="O262" i="2"/>
  <c r="M262" i="2"/>
  <c r="K262" i="2"/>
  <c r="I262" i="2"/>
  <c r="G262" i="2"/>
  <c r="E262" i="2"/>
  <c r="O261" i="2"/>
  <c r="M261" i="2"/>
  <c r="K261" i="2"/>
  <c r="I261" i="2"/>
  <c r="G261" i="2"/>
  <c r="E261" i="2"/>
  <c r="O260" i="2"/>
  <c r="M260" i="2"/>
  <c r="K260" i="2"/>
  <c r="I260" i="2"/>
  <c r="G260" i="2"/>
  <c r="E260" i="2"/>
  <c r="O259" i="2"/>
  <c r="M259" i="2"/>
  <c r="K259" i="2"/>
  <c r="I259" i="2"/>
  <c r="G259" i="2"/>
  <c r="E259" i="2"/>
  <c r="O258" i="2"/>
  <c r="M258" i="2"/>
  <c r="K258" i="2"/>
  <c r="I258" i="2"/>
  <c r="G258" i="2"/>
  <c r="E258" i="2"/>
  <c r="O257" i="2"/>
  <c r="M257" i="2"/>
  <c r="K257" i="2"/>
  <c r="I257" i="2"/>
  <c r="G257" i="2"/>
  <c r="E257" i="2"/>
  <c r="O256" i="2"/>
  <c r="M256" i="2"/>
  <c r="K256" i="2"/>
  <c r="I256" i="2"/>
  <c r="G256" i="2"/>
  <c r="E256" i="2"/>
  <c r="O255" i="2"/>
  <c r="M255" i="2"/>
  <c r="K255" i="2"/>
  <c r="I255" i="2"/>
  <c r="G255" i="2"/>
  <c r="E255" i="2"/>
  <c r="O254" i="2"/>
  <c r="M254" i="2"/>
  <c r="K254" i="2"/>
  <c r="I254" i="2"/>
  <c r="G254" i="2"/>
  <c r="E254" i="2"/>
  <c r="O253" i="2"/>
  <c r="M253" i="2"/>
  <c r="K253" i="2"/>
  <c r="I253" i="2"/>
  <c r="G253" i="2"/>
  <c r="E253" i="2"/>
  <c r="O252" i="2"/>
  <c r="M252" i="2"/>
  <c r="K252" i="2"/>
  <c r="I252" i="2"/>
  <c r="G252" i="2"/>
  <c r="E252" i="2"/>
  <c r="O251" i="2"/>
  <c r="M251" i="2"/>
  <c r="K251" i="2"/>
  <c r="I251" i="2"/>
  <c r="G251" i="2"/>
  <c r="E251" i="2"/>
  <c r="O250" i="2"/>
  <c r="M250" i="2"/>
  <c r="K250" i="2"/>
  <c r="I250" i="2"/>
  <c r="G250" i="2"/>
  <c r="E250" i="2"/>
  <c r="O249" i="2"/>
  <c r="M249" i="2"/>
  <c r="K249" i="2"/>
  <c r="I249" i="2"/>
  <c r="G249" i="2"/>
  <c r="E249" i="2"/>
  <c r="O248" i="2"/>
  <c r="M248" i="2"/>
  <c r="K248" i="2"/>
  <c r="I248" i="2"/>
  <c r="G248" i="2"/>
  <c r="E248" i="2"/>
  <c r="O247" i="2"/>
  <c r="M247" i="2"/>
  <c r="K247" i="2"/>
  <c r="I247" i="2"/>
  <c r="G247" i="2"/>
  <c r="E247" i="2"/>
  <c r="O246" i="2"/>
  <c r="M246" i="2"/>
  <c r="K246" i="2"/>
  <c r="I246" i="2"/>
  <c r="G246" i="2"/>
  <c r="E246" i="2"/>
  <c r="O245" i="2"/>
  <c r="M245" i="2"/>
  <c r="K245" i="2"/>
  <c r="I245" i="2"/>
  <c r="G245" i="2"/>
  <c r="E245" i="2"/>
  <c r="O244" i="2"/>
  <c r="M244" i="2"/>
  <c r="K244" i="2"/>
  <c r="I244" i="2"/>
  <c r="G244" i="2"/>
  <c r="E244" i="2"/>
  <c r="O243" i="2"/>
  <c r="M243" i="2"/>
  <c r="K243" i="2"/>
  <c r="I243" i="2"/>
  <c r="G243" i="2"/>
  <c r="E243" i="2"/>
  <c r="O242" i="2"/>
  <c r="M242" i="2"/>
  <c r="K242" i="2"/>
  <c r="I242" i="2"/>
  <c r="G242" i="2"/>
  <c r="E242" i="2"/>
  <c r="O241" i="2"/>
  <c r="M241" i="2"/>
  <c r="K241" i="2"/>
  <c r="I241" i="2"/>
  <c r="G241" i="2"/>
  <c r="E241" i="2"/>
  <c r="O240" i="2"/>
  <c r="M240" i="2"/>
  <c r="K240" i="2"/>
  <c r="I240" i="2"/>
  <c r="G240" i="2"/>
  <c r="E240" i="2"/>
  <c r="O239" i="2"/>
  <c r="M239" i="2"/>
  <c r="K239" i="2"/>
  <c r="I239" i="2"/>
  <c r="G239" i="2"/>
  <c r="E239" i="2"/>
  <c r="O238" i="2"/>
  <c r="M238" i="2"/>
  <c r="K238" i="2"/>
  <c r="I238" i="2"/>
  <c r="G238" i="2"/>
  <c r="E238" i="2"/>
  <c r="O237" i="2"/>
  <c r="M237" i="2"/>
  <c r="K237" i="2"/>
  <c r="I237" i="2"/>
  <c r="G237" i="2"/>
  <c r="E237" i="2"/>
  <c r="O236" i="2"/>
  <c r="M236" i="2"/>
  <c r="K236" i="2"/>
  <c r="I236" i="2"/>
  <c r="G236" i="2"/>
  <c r="E236" i="2"/>
  <c r="O235" i="2"/>
  <c r="M235" i="2"/>
  <c r="K235" i="2"/>
  <c r="I235" i="2"/>
  <c r="G235" i="2"/>
  <c r="E235" i="2"/>
  <c r="O234" i="2"/>
  <c r="M234" i="2"/>
  <c r="K234" i="2"/>
  <c r="I234" i="2"/>
  <c r="G234" i="2"/>
  <c r="E234" i="2"/>
  <c r="O233" i="2"/>
  <c r="M233" i="2"/>
  <c r="K233" i="2"/>
  <c r="I233" i="2"/>
  <c r="G233" i="2"/>
  <c r="E233" i="2"/>
  <c r="O232" i="2"/>
  <c r="M232" i="2"/>
  <c r="K232" i="2"/>
  <c r="I232" i="2"/>
  <c r="G232" i="2"/>
  <c r="E232" i="2"/>
  <c r="O231" i="2"/>
  <c r="M231" i="2"/>
  <c r="K231" i="2"/>
  <c r="I231" i="2"/>
  <c r="G231" i="2"/>
  <c r="E231" i="2"/>
  <c r="O230" i="2"/>
  <c r="M230" i="2"/>
  <c r="K230" i="2"/>
  <c r="I230" i="2"/>
  <c r="G230" i="2"/>
  <c r="E230" i="2"/>
  <c r="O229" i="2"/>
  <c r="M229" i="2"/>
  <c r="K229" i="2"/>
  <c r="I229" i="2"/>
  <c r="G229" i="2"/>
  <c r="E229" i="2"/>
  <c r="O228" i="2"/>
  <c r="M228" i="2"/>
  <c r="K228" i="2"/>
  <c r="I228" i="2"/>
  <c r="G228" i="2"/>
  <c r="E228" i="2"/>
  <c r="O227" i="2"/>
  <c r="M227" i="2"/>
  <c r="K227" i="2"/>
  <c r="I227" i="2"/>
  <c r="G227" i="2"/>
  <c r="E227" i="2"/>
  <c r="O226" i="2"/>
  <c r="M226" i="2"/>
  <c r="K226" i="2"/>
  <c r="I226" i="2"/>
  <c r="G226" i="2"/>
  <c r="E226" i="2"/>
  <c r="O225" i="2"/>
  <c r="M225" i="2"/>
  <c r="K225" i="2"/>
  <c r="I225" i="2"/>
  <c r="G225" i="2"/>
  <c r="E225" i="2"/>
  <c r="O224" i="2"/>
  <c r="M224" i="2"/>
  <c r="K224" i="2"/>
  <c r="I224" i="2"/>
  <c r="G224" i="2"/>
  <c r="E224" i="2"/>
  <c r="O223" i="2"/>
  <c r="M223" i="2"/>
  <c r="K223" i="2"/>
  <c r="I223" i="2"/>
  <c r="G223" i="2"/>
  <c r="E223" i="2"/>
  <c r="O222" i="2"/>
  <c r="M222" i="2"/>
  <c r="K222" i="2"/>
  <c r="I222" i="2"/>
  <c r="G222" i="2"/>
  <c r="E222" i="2"/>
  <c r="O221" i="2"/>
  <c r="M221" i="2"/>
  <c r="K221" i="2"/>
  <c r="I221" i="2"/>
  <c r="G221" i="2"/>
  <c r="E221" i="2"/>
  <c r="O220" i="2"/>
  <c r="M220" i="2"/>
  <c r="K220" i="2"/>
  <c r="I220" i="2"/>
  <c r="G220" i="2"/>
  <c r="E220" i="2"/>
  <c r="O219" i="2"/>
  <c r="M219" i="2"/>
  <c r="K219" i="2"/>
  <c r="I219" i="2"/>
  <c r="G219" i="2"/>
  <c r="E219" i="2"/>
  <c r="O218" i="2"/>
  <c r="M218" i="2"/>
  <c r="K218" i="2"/>
  <c r="I218" i="2"/>
  <c r="G218" i="2"/>
  <c r="E218" i="2"/>
  <c r="O217" i="2"/>
  <c r="M217" i="2"/>
  <c r="K217" i="2"/>
  <c r="I217" i="2"/>
  <c r="G217" i="2"/>
  <c r="E217" i="2"/>
  <c r="O216" i="2"/>
  <c r="M216" i="2"/>
  <c r="K216" i="2"/>
  <c r="I216" i="2"/>
  <c r="G216" i="2"/>
  <c r="E216" i="2"/>
  <c r="O215" i="2"/>
  <c r="M215" i="2"/>
  <c r="K215" i="2"/>
  <c r="I215" i="2"/>
  <c r="G215" i="2"/>
  <c r="E215" i="2"/>
  <c r="O214" i="2"/>
  <c r="M214" i="2"/>
  <c r="K214" i="2"/>
  <c r="I214" i="2"/>
  <c r="G214" i="2"/>
  <c r="E214" i="2"/>
  <c r="O213" i="2"/>
  <c r="M213" i="2"/>
  <c r="K213" i="2"/>
  <c r="I213" i="2"/>
  <c r="G213" i="2"/>
  <c r="E213" i="2"/>
  <c r="O212" i="2"/>
  <c r="M212" i="2"/>
  <c r="K212" i="2"/>
  <c r="I212" i="2"/>
  <c r="G212" i="2"/>
  <c r="E212" i="2"/>
  <c r="O211" i="2"/>
  <c r="M211" i="2"/>
  <c r="K211" i="2"/>
  <c r="I211" i="2"/>
  <c r="G211" i="2"/>
  <c r="E211" i="2"/>
  <c r="O210" i="2"/>
  <c r="M210" i="2"/>
  <c r="K210" i="2"/>
  <c r="I210" i="2"/>
  <c r="G210" i="2"/>
  <c r="E210" i="2"/>
  <c r="O209" i="2"/>
  <c r="M209" i="2"/>
  <c r="K209" i="2"/>
  <c r="I209" i="2"/>
  <c r="G209" i="2"/>
  <c r="E209" i="2"/>
  <c r="O208" i="2"/>
  <c r="M208" i="2"/>
  <c r="K208" i="2"/>
  <c r="I208" i="2"/>
  <c r="G208" i="2"/>
  <c r="E208" i="2"/>
  <c r="O207" i="2"/>
  <c r="M207" i="2"/>
  <c r="K207" i="2"/>
  <c r="I207" i="2"/>
  <c r="G207" i="2"/>
  <c r="E207" i="2"/>
  <c r="O206" i="2"/>
  <c r="M206" i="2"/>
  <c r="K206" i="2"/>
  <c r="I206" i="2"/>
  <c r="G206" i="2"/>
  <c r="E206" i="2"/>
  <c r="O205" i="2"/>
  <c r="M205" i="2"/>
  <c r="K205" i="2"/>
  <c r="I205" i="2"/>
  <c r="G205" i="2"/>
  <c r="E205" i="2"/>
  <c r="O204" i="2"/>
  <c r="M204" i="2"/>
  <c r="K204" i="2"/>
  <c r="I204" i="2"/>
  <c r="G204" i="2"/>
  <c r="E204" i="2"/>
  <c r="O203" i="2"/>
  <c r="M203" i="2"/>
  <c r="K203" i="2"/>
  <c r="I203" i="2"/>
  <c r="G203" i="2"/>
  <c r="E203" i="2"/>
  <c r="O202" i="2"/>
  <c r="M202" i="2"/>
  <c r="K202" i="2"/>
  <c r="I202" i="2"/>
  <c r="G202" i="2"/>
  <c r="E202" i="2"/>
  <c r="O201" i="2"/>
  <c r="M201" i="2"/>
  <c r="K201" i="2"/>
  <c r="I201" i="2"/>
  <c r="G201" i="2"/>
  <c r="E201" i="2"/>
  <c r="O200" i="2"/>
  <c r="M200" i="2"/>
  <c r="K200" i="2"/>
  <c r="I200" i="2"/>
  <c r="G200" i="2"/>
  <c r="E200" i="2"/>
  <c r="O199" i="2"/>
  <c r="M199" i="2"/>
  <c r="K199" i="2"/>
  <c r="I199" i="2"/>
  <c r="G199" i="2"/>
  <c r="E199" i="2"/>
  <c r="O198" i="2"/>
  <c r="M198" i="2"/>
  <c r="K198" i="2"/>
  <c r="I198" i="2"/>
  <c r="G198" i="2"/>
  <c r="E198" i="2"/>
  <c r="O197" i="2"/>
  <c r="M197" i="2"/>
  <c r="K197" i="2"/>
  <c r="I197" i="2"/>
  <c r="G197" i="2"/>
  <c r="E197" i="2"/>
  <c r="O196" i="2"/>
  <c r="M196" i="2"/>
  <c r="K196" i="2"/>
  <c r="I196" i="2"/>
  <c r="G196" i="2"/>
  <c r="E196" i="2"/>
  <c r="O195" i="2"/>
  <c r="M195" i="2"/>
  <c r="K195" i="2"/>
  <c r="I195" i="2"/>
  <c r="G195" i="2"/>
  <c r="E195" i="2"/>
  <c r="O194" i="2"/>
  <c r="M194" i="2"/>
  <c r="K194" i="2"/>
  <c r="I194" i="2"/>
  <c r="G194" i="2"/>
  <c r="E194" i="2"/>
  <c r="O193" i="2"/>
  <c r="M193" i="2"/>
  <c r="K193" i="2"/>
  <c r="I193" i="2"/>
  <c r="G193" i="2"/>
  <c r="E193" i="2"/>
  <c r="O192" i="2"/>
  <c r="M192" i="2"/>
  <c r="K192" i="2"/>
  <c r="I192" i="2"/>
  <c r="G192" i="2"/>
  <c r="E192" i="2"/>
  <c r="O191" i="2"/>
  <c r="M191" i="2"/>
  <c r="K191" i="2"/>
  <c r="I191" i="2"/>
  <c r="G191" i="2"/>
  <c r="E191" i="2"/>
  <c r="O190" i="2"/>
  <c r="M190" i="2"/>
  <c r="K190" i="2"/>
  <c r="I190" i="2"/>
  <c r="G190" i="2"/>
  <c r="E190" i="2"/>
  <c r="O189" i="2"/>
  <c r="M189" i="2"/>
  <c r="K189" i="2"/>
  <c r="I189" i="2"/>
  <c r="G189" i="2"/>
  <c r="E189" i="2"/>
  <c r="O188" i="2"/>
  <c r="M188" i="2"/>
  <c r="K188" i="2"/>
  <c r="I188" i="2"/>
  <c r="G188" i="2"/>
  <c r="E188" i="2"/>
  <c r="O187" i="2"/>
  <c r="M187" i="2"/>
  <c r="K187" i="2"/>
  <c r="I187" i="2"/>
  <c r="G187" i="2"/>
  <c r="E187" i="2"/>
  <c r="O186" i="2"/>
  <c r="M186" i="2"/>
  <c r="K186" i="2"/>
  <c r="I186" i="2"/>
  <c r="G186" i="2"/>
  <c r="E186" i="2"/>
  <c r="O185" i="2"/>
  <c r="M185" i="2"/>
  <c r="K185" i="2"/>
  <c r="I185" i="2"/>
  <c r="G185" i="2"/>
  <c r="E185" i="2"/>
  <c r="O184" i="2"/>
  <c r="M184" i="2"/>
  <c r="K184" i="2"/>
  <c r="I184" i="2"/>
  <c r="G184" i="2"/>
  <c r="E184" i="2"/>
  <c r="O183" i="2"/>
  <c r="M183" i="2"/>
  <c r="K183" i="2"/>
  <c r="I183" i="2"/>
  <c r="G183" i="2"/>
  <c r="E183" i="2"/>
  <c r="O182" i="2"/>
  <c r="M182" i="2"/>
  <c r="K182" i="2"/>
  <c r="I182" i="2"/>
  <c r="G182" i="2"/>
  <c r="E182" i="2"/>
  <c r="O181" i="2"/>
  <c r="M181" i="2"/>
  <c r="K181" i="2"/>
  <c r="I181" i="2"/>
  <c r="G181" i="2"/>
  <c r="E181" i="2"/>
  <c r="O180" i="2"/>
  <c r="M180" i="2"/>
  <c r="K180" i="2"/>
  <c r="I180" i="2"/>
  <c r="G180" i="2"/>
  <c r="E180" i="2"/>
  <c r="O179" i="2"/>
  <c r="M179" i="2"/>
  <c r="K179" i="2"/>
  <c r="I179" i="2"/>
  <c r="G179" i="2"/>
  <c r="E179" i="2"/>
  <c r="O178" i="2"/>
  <c r="M178" i="2"/>
  <c r="K178" i="2"/>
  <c r="I178" i="2"/>
  <c r="G178" i="2"/>
  <c r="E178" i="2"/>
  <c r="O177" i="2"/>
  <c r="M177" i="2"/>
  <c r="K177" i="2"/>
  <c r="I177" i="2"/>
  <c r="G177" i="2"/>
  <c r="E177" i="2"/>
  <c r="O176" i="2"/>
  <c r="M176" i="2"/>
  <c r="K176" i="2"/>
  <c r="I176" i="2"/>
  <c r="G176" i="2"/>
  <c r="E176" i="2"/>
  <c r="O175" i="2"/>
  <c r="M175" i="2"/>
  <c r="K175" i="2"/>
  <c r="I175" i="2"/>
  <c r="G175" i="2"/>
  <c r="E175" i="2"/>
  <c r="O174" i="2"/>
  <c r="M174" i="2"/>
  <c r="K174" i="2"/>
  <c r="I174" i="2"/>
  <c r="G174" i="2"/>
  <c r="E174" i="2"/>
  <c r="O173" i="2"/>
  <c r="M173" i="2"/>
  <c r="K173" i="2"/>
  <c r="I173" i="2"/>
  <c r="G173" i="2"/>
  <c r="E173" i="2"/>
  <c r="O172" i="2"/>
  <c r="M172" i="2"/>
  <c r="K172" i="2"/>
  <c r="I172" i="2"/>
  <c r="G172" i="2"/>
  <c r="E172" i="2"/>
  <c r="O171" i="2"/>
  <c r="M171" i="2"/>
  <c r="K171" i="2"/>
  <c r="I171" i="2"/>
  <c r="G171" i="2"/>
  <c r="E171" i="2"/>
  <c r="O170" i="2"/>
  <c r="M170" i="2"/>
  <c r="K170" i="2"/>
  <c r="I170" i="2"/>
  <c r="G170" i="2"/>
  <c r="E170" i="2"/>
  <c r="O169" i="2"/>
  <c r="M169" i="2"/>
  <c r="K169" i="2"/>
  <c r="I169" i="2"/>
  <c r="G169" i="2"/>
  <c r="E169" i="2"/>
  <c r="O168" i="2"/>
  <c r="M168" i="2"/>
  <c r="K168" i="2"/>
  <c r="I168" i="2"/>
  <c r="G168" i="2"/>
  <c r="E168" i="2"/>
  <c r="O167" i="2"/>
  <c r="M167" i="2"/>
  <c r="K167" i="2"/>
  <c r="I167" i="2"/>
  <c r="G167" i="2"/>
  <c r="E167" i="2"/>
  <c r="O166" i="2"/>
  <c r="M166" i="2"/>
  <c r="K166" i="2"/>
  <c r="I166" i="2"/>
  <c r="G166" i="2"/>
  <c r="E166" i="2"/>
  <c r="O165" i="2"/>
  <c r="M165" i="2"/>
  <c r="K165" i="2"/>
  <c r="I165" i="2"/>
  <c r="G165" i="2"/>
  <c r="E165" i="2"/>
  <c r="O164" i="2"/>
  <c r="M164" i="2"/>
  <c r="K164" i="2"/>
  <c r="I164" i="2"/>
  <c r="G164" i="2"/>
  <c r="E164" i="2"/>
  <c r="O163" i="2"/>
  <c r="M163" i="2"/>
  <c r="K163" i="2"/>
  <c r="I163" i="2"/>
  <c r="G163" i="2"/>
  <c r="E163" i="2"/>
  <c r="O162" i="2"/>
  <c r="M162" i="2"/>
  <c r="K162" i="2"/>
  <c r="I162" i="2"/>
  <c r="G162" i="2"/>
  <c r="E162" i="2"/>
  <c r="O161" i="2"/>
  <c r="M161" i="2"/>
  <c r="K161" i="2"/>
  <c r="I161" i="2"/>
  <c r="G161" i="2"/>
  <c r="E161" i="2"/>
  <c r="O160" i="2"/>
  <c r="M160" i="2"/>
  <c r="K160" i="2"/>
  <c r="I160" i="2"/>
  <c r="G160" i="2"/>
  <c r="E160" i="2"/>
  <c r="O159" i="2"/>
  <c r="M159" i="2"/>
  <c r="K159" i="2"/>
  <c r="I159" i="2"/>
  <c r="G159" i="2"/>
  <c r="E159" i="2"/>
  <c r="O158" i="2"/>
  <c r="M158" i="2"/>
  <c r="K158" i="2"/>
  <c r="I158" i="2"/>
  <c r="G158" i="2"/>
  <c r="E158" i="2"/>
  <c r="O157" i="2"/>
  <c r="M157" i="2"/>
  <c r="K157" i="2"/>
  <c r="I157" i="2"/>
  <c r="G157" i="2"/>
  <c r="E157" i="2"/>
  <c r="O156" i="2"/>
  <c r="M156" i="2"/>
  <c r="K156" i="2"/>
  <c r="I156" i="2"/>
  <c r="G156" i="2"/>
  <c r="E156" i="2"/>
  <c r="O155" i="2"/>
  <c r="M155" i="2"/>
  <c r="K155" i="2"/>
  <c r="I155" i="2"/>
  <c r="G155" i="2"/>
  <c r="E155" i="2"/>
  <c r="O154" i="2"/>
  <c r="M154" i="2"/>
  <c r="K154" i="2"/>
  <c r="I154" i="2"/>
  <c r="G154" i="2"/>
  <c r="E154" i="2"/>
  <c r="O153" i="2"/>
  <c r="M153" i="2"/>
  <c r="K153" i="2"/>
  <c r="I153" i="2"/>
  <c r="G153" i="2"/>
  <c r="E153" i="2"/>
  <c r="O152" i="2"/>
  <c r="M152" i="2"/>
  <c r="K152" i="2"/>
  <c r="I152" i="2"/>
  <c r="G152" i="2"/>
  <c r="E152" i="2"/>
  <c r="O151" i="2"/>
  <c r="M151" i="2"/>
  <c r="K151" i="2"/>
  <c r="I151" i="2"/>
  <c r="G151" i="2"/>
  <c r="E151" i="2"/>
  <c r="O150" i="2"/>
  <c r="M150" i="2"/>
  <c r="K150" i="2"/>
  <c r="I150" i="2"/>
  <c r="G150" i="2"/>
  <c r="E150" i="2"/>
  <c r="O149" i="2"/>
  <c r="M149" i="2"/>
  <c r="K149" i="2"/>
  <c r="I149" i="2"/>
  <c r="G149" i="2"/>
  <c r="E149" i="2"/>
  <c r="O148" i="2"/>
  <c r="M148" i="2"/>
  <c r="K148" i="2"/>
  <c r="I148" i="2"/>
  <c r="G148" i="2"/>
  <c r="E148" i="2"/>
  <c r="O147" i="2"/>
  <c r="M147" i="2"/>
  <c r="K147" i="2"/>
  <c r="I147" i="2"/>
  <c r="G147" i="2"/>
  <c r="E147" i="2"/>
  <c r="O146" i="2"/>
  <c r="M146" i="2"/>
  <c r="K146" i="2"/>
  <c r="I146" i="2"/>
  <c r="G146" i="2"/>
  <c r="E146" i="2"/>
  <c r="O145" i="2"/>
  <c r="M145" i="2"/>
  <c r="K145" i="2"/>
  <c r="I145" i="2"/>
  <c r="G145" i="2"/>
  <c r="E145" i="2"/>
  <c r="O144" i="2"/>
  <c r="M144" i="2"/>
  <c r="K144" i="2"/>
  <c r="I144" i="2"/>
  <c r="G144" i="2"/>
  <c r="E144" i="2"/>
  <c r="O143" i="2"/>
  <c r="M143" i="2"/>
  <c r="K143" i="2"/>
  <c r="I143" i="2"/>
  <c r="G143" i="2"/>
  <c r="E143" i="2"/>
  <c r="O142" i="2"/>
  <c r="M142" i="2"/>
  <c r="K142" i="2"/>
  <c r="I142" i="2"/>
  <c r="G142" i="2"/>
  <c r="E142" i="2"/>
  <c r="O141" i="2"/>
  <c r="M141" i="2"/>
  <c r="K141" i="2"/>
  <c r="I141" i="2"/>
  <c r="G141" i="2"/>
  <c r="E141" i="2"/>
  <c r="O140" i="2"/>
  <c r="M140" i="2"/>
  <c r="K140" i="2"/>
  <c r="I140" i="2"/>
  <c r="G140" i="2"/>
  <c r="E140" i="2"/>
  <c r="O139" i="2"/>
  <c r="M139" i="2"/>
  <c r="K139" i="2"/>
  <c r="I139" i="2"/>
  <c r="G139" i="2"/>
  <c r="E139" i="2"/>
  <c r="O138" i="2"/>
  <c r="M138" i="2"/>
  <c r="K138" i="2"/>
  <c r="I138" i="2"/>
  <c r="G138" i="2"/>
  <c r="E138" i="2"/>
  <c r="O137" i="2"/>
  <c r="M137" i="2"/>
  <c r="K137" i="2"/>
  <c r="I137" i="2"/>
  <c r="G137" i="2"/>
  <c r="E137" i="2"/>
  <c r="O136" i="2"/>
  <c r="M136" i="2"/>
  <c r="K136" i="2"/>
  <c r="I136" i="2"/>
  <c r="G136" i="2"/>
  <c r="E136" i="2"/>
  <c r="O135" i="2"/>
  <c r="M135" i="2"/>
  <c r="K135" i="2"/>
  <c r="I135" i="2"/>
  <c r="G135" i="2"/>
  <c r="E135" i="2"/>
  <c r="O134" i="2"/>
  <c r="M134" i="2"/>
  <c r="K134" i="2"/>
  <c r="I134" i="2"/>
  <c r="G134" i="2"/>
  <c r="E134" i="2"/>
  <c r="O133" i="2"/>
  <c r="M133" i="2"/>
  <c r="K133" i="2"/>
  <c r="I133" i="2"/>
  <c r="G133" i="2"/>
  <c r="E133" i="2"/>
  <c r="O132" i="2"/>
  <c r="M132" i="2"/>
  <c r="K132" i="2"/>
  <c r="I132" i="2"/>
  <c r="G132" i="2"/>
  <c r="E132" i="2"/>
  <c r="O131" i="2"/>
  <c r="M131" i="2"/>
  <c r="K131" i="2"/>
  <c r="I131" i="2"/>
  <c r="G131" i="2"/>
  <c r="E131" i="2"/>
  <c r="O130" i="2"/>
  <c r="M130" i="2"/>
  <c r="K130" i="2"/>
  <c r="I130" i="2"/>
  <c r="G130" i="2"/>
  <c r="E130" i="2"/>
  <c r="O129" i="2"/>
  <c r="M129" i="2"/>
  <c r="K129" i="2"/>
  <c r="I129" i="2"/>
  <c r="G129" i="2"/>
  <c r="E129" i="2"/>
  <c r="O128" i="2"/>
  <c r="M128" i="2"/>
  <c r="K128" i="2"/>
  <c r="I128" i="2"/>
  <c r="G128" i="2"/>
  <c r="E128" i="2"/>
  <c r="O127" i="2"/>
  <c r="M127" i="2"/>
  <c r="K127" i="2"/>
  <c r="I127" i="2"/>
  <c r="G127" i="2"/>
  <c r="E127" i="2"/>
  <c r="O126" i="2"/>
  <c r="M126" i="2"/>
  <c r="K126" i="2"/>
  <c r="I126" i="2"/>
  <c r="G126" i="2"/>
  <c r="E126" i="2"/>
  <c r="O125" i="2"/>
  <c r="M125" i="2"/>
  <c r="K125" i="2"/>
  <c r="I125" i="2"/>
  <c r="G125" i="2"/>
  <c r="E125" i="2"/>
  <c r="O124" i="2"/>
  <c r="M124" i="2"/>
  <c r="K124" i="2"/>
  <c r="I124" i="2"/>
  <c r="G124" i="2"/>
  <c r="E124" i="2"/>
  <c r="O123" i="2"/>
  <c r="M123" i="2"/>
  <c r="K123" i="2"/>
  <c r="I123" i="2"/>
  <c r="G123" i="2"/>
  <c r="E123" i="2"/>
  <c r="O122" i="2"/>
  <c r="M122" i="2"/>
  <c r="K122" i="2"/>
  <c r="I122" i="2"/>
  <c r="G122" i="2"/>
  <c r="E122" i="2"/>
  <c r="O121" i="2"/>
  <c r="M121" i="2"/>
  <c r="K121" i="2"/>
  <c r="I121" i="2"/>
  <c r="G121" i="2"/>
  <c r="E121" i="2"/>
  <c r="O120" i="2"/>
  <c r="M120" i="2"/>
  <c r="K120" i="2"/>
  <c r="I120" i="2"/>
  <c r="G120" i="2"/>
  <c r="E120" i="2"/>
  <c r="O119" i="2"/>
  <c r="M119" i="2"/>
  <c r="K119" i="2"/>
  <c r="I119" i="2"/>
  <c r="G119" i="2"/>
  <c r="E119" i="2"/>
  <c r="O118" i="2"/>
  <c r="M118" i="2"/>
  <c r="K118" i="2"/>
  <c r="I118" i="2"/>
  <c r="G118" i="2"/>
  <c r="E118" i="2"/>
  <c r="O117" i="2"/>
  <c r="M117" i="2"/>
  <c r="K117" i="2"/>
  <c r="I117" i="2"/>
  <c r="G117" i="2"/>
  <c r="E117" i="2"/>
  <c r="O116" i="2"/>
  <c r="M116" i="2"/>
  <c r="K116" i="2"/>
  <c r="I116" i="2"/>
  <c r="G116" i="2"/>
  <c r="E116" i="2"/>
  <c r="O115" i="2"/>
  <c r="M115" i="2"/>
  <c r="K115" i="2"/>
  <c r="I115" i="2"/>
  <c r="G115" i="2"/>
  <c r="E115" i="2"/>
  <c r="O114" i="2"/>
  <c r="M114" i="2"/>
  <c r="K114" i="2"/>
  <c r="I114" i="2"/>
  <c r="G114" i="2"/>
  <c r="E114" i="2"/>
  <c r="O113" i="2"/>
  <c r="M113" i="2"/>
  <c r="K113" i="2"/>
  <c r="I113" i="2"/>
  <c r="G113" i="2"/>
  <c r="E113" i="2"/>
  <c r="O112" i="2"/>
  <c r="M112" i="2"/>
  <c r="K112" i="2"/>
  <c r="I112" i="2"/>
  <c r="G112" i="2"/>
  <c r="E112" i="2"/>
  <c r="O111" i="2"/>
  <c r="M111" i="2"/>
  <c r="K111" i="2"/>
  <c r="I111" i="2"/>
  <c r="G111" i="2"/>
  <c r="E111" i="2"/>
  <c r="O110" i="2"/>
  <c r="M110" i="2"/>
  <c r="K110" i="2"/>
  <c r="I110" i="2"/>
  <c r="G110" i="2"/>
  <c r="E110" i="2"/>
  <c r="O109" i="2"/>
  <c r="M109" i="2"/>
  <c r="K109" i="2"/>
  <c r="I109" i="2"/>
  <c r="G109" i="2"/>
  <c r="E109" i="2"/>
  <c r="O108" i="2"/>
  <c r="M108" i="2"/>
  <c r="K108" i="2"/>
  <c r="I108" i="2"/>
  <c r="G108" i="2"/>
  <c r="E108" i="2"/>
  <c r="O107" i="2"/>
  <c r="M107" i="2"/>
  <c r="K107" i="2"/>
  <c r="I107" i="2"/>
  <c r="G107" i="2"/>
  <c r="E107" i="2"/>
  <c r="O106" i="2"/>
  <c r="M106" i="2"/>
  <c r="K106" i="2"/>
  <c r="I106" i="2"/>
  <c r="G106" i="2"/>
  <c r="E106" i="2"/>
  <c r="O105" i="2"/>
  <c r="M105" i="2"/>
  <c r="K105" i="2"/>
  <c r="I105" i="2"/>
  <c r="G105" i="2"/>
  <c r="E105" i="2"/>
  <c r="O104" i="2"/>
  <c r="M104" i="2"/>
  <c r="K104" i="2"/>
  <c r="I104" i="2"/>
  <c r="G104" i="2"/>
  <c r="E104" i="2"/>
  <c r="O103" i="2"/>
  <c r="M103" i="2"/>
  <c r="K103" i="2"/>
  <c r="I103" i="2"/>
  <c r="G103" i="2"/>
  <c r="E103" i="2"/>
  <c r="O102" i="2"/>
  <c r="M102" i="2"/>
  <c r="K102" i="2"/>
  <c r="I102" i="2"/>
  <c r="G102" i="2"/>
  <c r="E102" i="2"/>
  <c r="O101" i="2"/>
  <c r="M101" i="2"/>
  <c r="K101" i="2"/>
  <c r="I101" i="2"/>
  <c r="G101" i="2"/>
  <c r="E101" i="2"/>
  <c r="O100" i="2"/>
  <c r="M100" i="2"/>
  <c r="K100" i="2"/>
  <c r="I100" i="2"/>
  <c r="G100" i="2"/>
  <c r="E100" i="2"/>
  <c r="O99" i="2"/>
  <c r="M99" i="2"/>
  <c r="K99" i="2"/>
  <c r="I99" i="2"/>
  <c r="G99" i="2"/>
  <c r="E99" i="2"/>
  <c r="O98" i="2"/>
  <c r="M98" i="2"/>
  <c r="K98" i="2"/>
  <c r="I98" i="2"/>
  <c r="G98" i="2"/>
  <c r="E98" i="2"/>
  <c r="O97" i="2"/>
  <c r="M97" i="2"/>
  <c r="K97" i="2"/>
  <c r="I97" i="2"/>
  <c r="G97" i="2"/>
  <c r="E97" i="2"/>
  <c r="O96" i="2"/>
  <c r="M96" i="2"/>
  <c r="K96" i="2"/>
  <c r="I96" i="2"/>
  <c r="G96" i="2"/>
  <c r="E96" i="2"/>
  <c r="O95" i="2"/>
  <c r="M95" i="2"/>
  <c r="K95" i="2"/>
  <c r="I95" i="2"/>
  <c r="G95" i="2"/>
  <c r="E95" i="2"/>
  <c r="O94" i="2"/>
  <c r="M94" i="2"/>
  <c r="K94" i="2"/>
  <c r="I94" i="2"/>
  <c r="G94" i="2"/>
  <c r="E94" i="2"/>
  <c r="O93" i="2"/>
  <c r="M93" i="2"/>
  <c r="K93" i="2"/>
  <c r="I93" i="2"/>
  <c r="G93" i="2"/>
  <c r="E93" i="2"/>
  <c r="O92" i="2"/>
  <c r="M92" i="2"/>
  <c r="K92" i="2"/>
  <c r="I92" i="2"/>
  <c r="G92" i="2"/>
  <c r="E92" i="2"/>
  <c r="O91" i="2"/>
  <c r="M91" i="2"/>
  <c r="K91" i="2"/>
  <c r="I91" i="2"/>
  <c r="G91" i="2"/>
  <c r="E91" i="2"/>
  <c r="O90" i="2"/>
  <c r="M90" i="2"/>
  <c r="K90" i="2"/>
  <c r="I90" i="2"/>
  <c r="G90" i="2"/>
  <c r="E90" i="2"/>
  <c r="O89" i="2"/>
  <c r="M89" i="2"/>
  <c r="K89" i="2"/>
  <c r="I89" i="2"/>
  <c r="G89" i="2"/>
  <c r="E89" i="2"/>
  <c r="O88" i="2"/>
  <c r="M88" i="2"/>
  <c r="K88" i="2"/>
  <c r="I88" i="2"/>
  <c r="G88" i="2"/>
  <c r="E88" i="2"/>
  <c r="O87" i="2"/>
  <c r="M87" i="2"/>
  <c r="K87" i="2"/>
  <c r="I87" i="2"/>
  <c r="G87" i="2"/>
  <c r="E87" i="2"/>
  <c r="O86" i="2"/>
  <c r="M86" i="2"/>
  <c r="K86" i="2"/>
  <c r="I86" i="2"/>
  <c r="G86" i="2"/>
  <c r="E86" i="2"/>
  <c r="O85" i="2"/>
  <c r="M85" i="2"/>
  <c r="K85" i="2"/>
  <c r="I85" i="2"/>
  <c r="G85" i="2"/>
  <c r="E85" i="2"/>
  <c r="O84" i="2"/>
  <c r="M84" i="2"/>
  <c r="K84" i="2"/>
  <c r="I84" i="2"/>
  <c r="G84" i="2"/>
  <c r="E84" i="2"/>
  <c r="O83" i="2"/>
  <c r="M83" i="2"/>
  <c r="K83" i="2"/>
  <c r="I83" i="2"/>
  <c r="G83" i="2"/>
  <c r="E83" i="2"/>
  <c r="O82" i="2"/>
  <c r="M82" i="2"/>
  <c r="K82" i="2"/>
  <c r="I82" i="2"/>
  <c r="G82" i="2"/>
  <c r="E82" i="2"/>
  <c r="O81" i="2"/>
  <c r="M81" i="2"/>
  <c r="K81" i="2"/>
  <c r="I81" i="2"/>
  <c r="G81" i="2"/>
  <c r="E81" i="2"/>
  <c r="O80" i="2"/>
  <c r="M80" i="2"/>
  <c r="K80" i="2"/>
  <c r="I80" i="2"/>
  <c r="G80" i="2"/>
  <c r="E80" i="2"/>
  <c r="O79" i="2"/>
  <c r="M79" i="2"/>
  <c r="K79" i="2"/>
  <c r="I79" i="2"/>
  <c r="G79" i="2"/>
  <c r="E79" i="2"/>
  <c r="O78" i="2"/>
  <c r="M78" i="2"/>
  <c r="K78" i="2"/>
  <c r="I78" i="2"/>
  <c r="G78" i="2"/>
  <c r="E78" i="2"/>
  <c r="O77" i="2"/>
  <c r="M77" i="2"/>
  <c r="K77" i="2"/>
  <c r="I77" i="2"/>
  <c r="G77" i="2"/>
  <c r="E77" i="2"/>
  <c r="O76" i="2"/>
  <c r="M76" i="2"/>
  <c r="K76" i="2"/>
  <c r="I76" i="2"/>
  <c r="G76" i="2"/>
  <c r="E76" i="2"/>
  <c r="O75" i="2"/>
  <c r="M75" i="2"/>
  <c r="K75" i="2"/>
  <c r="I75" i="2"/>
  <c r="G75" i="2"/>
  <c r="E75" i="2"/>
  <c r="O74" i="2"/>
  <c r="M74" i="2"/>
  <c r="K74" i="2"/>
  <c r="I74" i="2"/>
  <c r="G74" i="2"/>
  <c r="E74" i="2"/>
  <c r="O73" i="2"/>
  <c r="M73" i="2"/>
  <c r="K73" i="2"/>
  <c r="I73" i="2"/>
  <c r="G73" i="2"/>
  <c r="E73" i="2"/>
  <c r="O72" i="2"/>
  <c r="M72" i="2"/>
  <c r="K72" i="2"/>
  <c r="I72" i="2"/>
  <c r="G72" i="2"/>
  <c r="E72" i="2"/>
  <c r="O71" i="2"/>
  <c r="M71" i="2"/>
  <c r="K71" i="2"/>
  <c r="I71" i="2"/>
  <c r="G71" i="2"/>
  <c r="E71" i="2"/>
  <c r="O70" i="2"/>
  <c r="M70" i="2"/>
  <c r="K70" i="2"/>
  <c r="I70" i="2"/>
  <c r="G70" i="2"/>
  <c r="E70" i="2"/>
  <c r="O69" i="2"/>
  <c r="M69" i="2"/>
  <c r="K69" i="2"/>
  <c r="I69" i="2"/>
  <c r="G69" i="2"/>
  <c r="E69" i="2"/>
  <c r="O68" i="2"/>
  <c r="M68" i="2"/>
  <c r="K68" i="2"/>
  <c r="I68" i="2"/>
  <c r="G68" i="2"/>
  <c r="E68" i="2"/>
  <c r="O67" i="2"/>
  <c r="M67" i="2"/>
  <c r="K67" i="2"/>
  <c r="I67" i="2"/>
  <c r="G67" i="2"/>
  <c r="E67" i="2"/>
  <c r="O66" i="2"/>
  <c r="M66" i="2"/>
  <c r="K66" i="2"/>
  <c r="I66" i="2"/>
  <c r="G66" i="2"/>
  <c r="E66" i="2"/>
  <c r="O65" i="2"/>
  <c r="M65" i="2"/>
  <c r="K65" i="2"/>
  <c r="I65" i="2"/>
  <c r="G65" i="2"/>
  <c r="E65" i="2"/>
  <c r="O64" i="2"/>
  <c r="M64" i="2"/>
  <c r="K64" i="2"/>
  <c r="I64" i="2"/>
  <c r="G64" i="2"/>
  <c r="E64" i="2"/>
  <c r="O63" i="2"/>
  <c r="M63" i="2"/>
  <c r="K63" i="2"/>
  <c r="I63" i="2"/>
  <c r="G63" i="2"/>
  <c r="E63" i="2"/>
  <c r="O62" i="2"/>
  <c r="M62" i="2"/>
  <c r="K62" i="2"/>
  <c r="I62" i="2"/>
  <c r="G62" i="2"/>
  <c r="E62" i="2"/>
  <c r="O61" i="2"/>
  <c r="M61" i="2"/>
  <c r="K61" i="2"/>
  <c r="I61" i="2"/>
  <c r="G61" i="2"/>
  <c r="E61" i="2"/>
  <c r="O60" i="2"/>
  <c r="M60" i="2"/>
  <c r="K60" i="2"/>
  <c r="I60" i="2"/>
  <c r="G60" i="2"/>
  <c r="E60" i="2"/>
  <c r="O59" i="2"/>
  <c r="M59" i="2"/>
  <c r="K59" i="2"/>
  <c r="I59" i="2"/>
  <c r="G59" i="2"/>
  <c r="E59" i="2"/>
  <c r="O58" i="2"/>
  <c r="M58" i="2"/>
  <c r="K58" i="2"/>
  <c r="I58" i="2"/>
  <c r="G58" i="2"/>
  <c r="E58" i="2"/>
  <c r="O57" i="2"/>
  <c r="M57" i="2"/>
  <c r="K57" i="2"/>
  <c r="I57" i="2"/>
  <c r="G57" i="2"/>
  <c r="E57" i="2"/>
  <c r="O56" i="2"/>
  <c r="M56" i="2"/>
  <c r="K56" i="2"/>
  <c r="I56" i="2"/>
  <c r="G56" i="2"/>
  <c r="E56" i="2"/>
  <c r="O55" i="2"/>
  <c r="M55" i="2"/>
  <c r="K55" i="2"/>
  <c r="I55" i="2"/>
  <c r="G55" i="2"/>
  <c r="E55" i="2"/>
  <c r="O54" i="2"/>
  <c r="M54" i="2"/>
  <c r="K54" i="2"/>
  <c r="I54" i="2"/>
  <c r="G54" i="2"/>
  <c r="E54" i="2"/>
  <c r="O53" i="2"/>
  <c r="M53" i="2"/>
  <c r="K53" i="2"/>
  <c r="I53" i="2"/>
  <c r="G53" i="2"/>
  <c r="E53" i="2"/>
  <c r="O52" i="2"/>
  <c r="M52" i="2"/>
  <c r="K52" i="2"/>
  <c r="I52" i="2"/>
  <c r="G52" i="2"/>
  <c r="E52" i="2"/>
  <c r="O51" i="2"/>
  <c r="M51" i="2"/>
  <c r="K51" i="2"/>
  <c r="I51" i="2"/>
  <c r="G51" i="2"/>
  <c r="E51" i="2"/>
  <c r="O50" i="2"/>
  <c r="M50" i="2"/>
  <c r="K50" i="2"/>
  <c r="I50" i="2"/>
  <c r="G50" i="2"/>
  <c r="E50" i="2"/>
  <c r="O49" i="2"/>
  <c r="M49" i="2"/>
  <c r="K49" i="2"/>
  <c r="I49" i="2"/>
  <c r="G49" i="2"/>
  <c r="E49" i="2"/>
  <c r="O48" i="2"/>
  <c r="M48" i="2"/>
  <c r="K48" i="2"/>
  <c r="I48" i="2"/>
  <c r="G48" i="2"/>
  <c r="E48" i="2"/>
  <c r="O47" i="2"/>
  <c r="M47" i="2"/>
  <c r="K47" i="2"/>
  <c r="I47" i="2"/>
  <c r="G47" i="2"/>
  <c r="E47" i="2"/>
  <c r="O46" i="2"/>
  <c r="M46" i="2"/>
  <c r="K46" i="2"/>
  <c r="I46" i="2"/>
  <c r="G46" i="2"/>
  <c r="E46" i="2"/>
  <c r="O45" i="2"/>
  <c r="M45" i="2"/>
  <c r="K45" i="2"/>
  <c r="I45" i="2"/>
  <c r="G45" i="2"/>
  <c r="E45" i="2"/>
  <c r="O44" i="2"/>
  <c r="M44" i="2"/>
  <c r="K44" i="2"/>
  <c r="I44" i="2"/>
  <c r="G44" i="2"/>
  <c r="E44" i="2"/>
  <c r="O43" i="2"/>
  <c r="M43" i="2"/>
  <c r="K43" i="2"/>
  <c r="I43" i="2"/>
  <c r="G43" i="2"/>
  <c r="E43" i="2"/>
  <c r="O42" i="2"/>
  <c r="M42" i="2"/>
  <c r="K42" i="2"/>
  <c r="I42" i="2"/>
  <c r="G42" i="2"/>
  <c r="E42" i="2"/>
  <c r="O41" i="2"/>
  <c r="M41" i="2"/>
  <c r="K41" i="2"/>
  <c r="I41" i="2"/>
  <c r="G41" i="2"/>
  <c r="E41" i="2"/>
  <c r="O40" i="2"/>
  <c r="M40" i="2"/>
  <c r="K40" i="2"/>
  <c r="I40" i="2"/>
  <c r="G40" i="2"/>
  <c r="E40" i="2"/>
  <c r="O39" i="2"/>
  <c r="M39" i="2"/>
  <c r="K39" i="2"/>
  <c r="I39" i="2"/>
  <c r="G39" i="2"/>
  <c r="E39" i="2"/>
  <c r="O38" i="2"/>
  <c r="M38" i="2"/>
  <c r="K38" i="2"/>
  <c r="I38" i="2"/>
  <c r="G38" i="2"/>
  <c r="E38" i="2"/>
  <c r="O37" i="2"/>
  <c r="M37" i="2"/>
  <c r="K37" i="2"/>
  <c r="I37" i="2"/>
  <c r="G37" i="2"/>
  <c r="E37" i="2"/>
  <c r="O36" i="2"/>
  <c r="M36" i="2"/>
  <c r="K36" i="2"/>
  <c r="I36" i="2"/>
  <c r="G36" i="2"/>
  <c r="E36" i="2"/>
  <c r="O35" i="2"/>
  <c r="M35" i="2"/>
  <c r="K35" i="2"/>
  <c r="I35" i="2"/>
  <c r="G35" i="2"/>
  <c r="E35" i="2"/>
  <c r="O34" i="2"/>
  <c r="M34" i="2"/>
  <c r="K34" i="2"/>
  <c r="I34" i="2"/>
  <c r="G34" i="2"/>
  <c r="E34" i="2"/>
  <c r="O33" i="2"/>
  <c r="M33" i="2"/>
  <c r="K33" i="2"/>
  <c r="I33" i="2"/>
  <c r="G33" i="2"/>
  <c r="E33" i="2"/>
  <c r="O32" i="2"/>
  <c r="M32" i="2"/>
  <c r="K32" i="2"/>
  <c r="I32" i="2"/>
  <c r="G32" i="2"/>
  <c r="E32" i="2"/>
  <c r="O31" i="2"/>
  <c r="M31" i="2"/>
  <c r="K31" i="2"/>
  <c r="I31" i="2"/>
  <c r="G31" i="2"/>
  <c r="E31" i="2"/>
  <c r="O30" i="2"/>
  <c r="M30" i="2"/>
  <c r="K30" i="2"/>
  <c r="I30" i="2"/>
  <c r="G30" i="2"/>
  <c r="E30" i="2"/>
  <c r="O29" i="2"/>
  <c r="M29" i="2"/>
  <c r="K29" i="2"/>
  <c r="I29" i="2"/>
  <c r="G29" i="2"/>
  <c r="E29" i="2"/>
  <c r="O28" i="2"/>
  <c r="M28" i="2"/>
  <c r="K28" i="2"/>
  <c r="I28" i="2"/>
  <c r="G28" i="2"/>
  <c r="E28" i="2"/>
  <c r="O27" i="2"/>
  <c r="M27" i="2"/>
  <c r="K27" i="2"/>
  <c r="I27" i="2"/>
  <c r="G27" i="2"/>
  <c r="E27" i="2"/>
  <c r="O26" i="2"/>
  <c r="M26" i="2"/>
  <c r="K26" i="2"/>
  <c r="I26" i="2"/>
  <c r="G26" i="2"/>
  <c r="E26" i="2"/>
  <c r="O25" i="2"/>
  <c r="M25" i="2"/>
  <c r="K25" i="2"/>
  <c r="I25" i="2"/>
  <c r="G25" i="2"/>
  <c r="E25" i="2"/>
  <c r="O24" i="2"/>
  <c r="M24" i="2"/>
  <c r="K24" i="2"/>
  <c r="I24" i="2"/>
  <c r="G24" i="2"/>
  <c r="E24" i="2"/>
  <c r="O23" i="2"/>
  <c r="M23" i="2"/>
  <c r="K23" i="2"/>
  <c r="I23" i="2"/>
  <c r="G23" i="2"/>
  <c r="E23" i="2"/>
  <c r="O22" i="2"/>
  <c r="M22" i="2"/>
  <c r="K22" i="2"/>
  <c r="I22" i="2"/>
  <c r="G22" i="2"/>
  <c r="E22" i="2"/>
  <c r="O21" i="2"/>
  <c r="M21" i="2"/>
  <c r="K21" i="2"/>
  <c r="I21" i="2"/>
  <c r="G21" i="2"/>
  <c r="E21" i="2"/>
  <c r="O20" i="2"/>
  <c r="M20" i="2"/>
  <c r="K20" i="2"/>
  <c r="I20" i="2"/>
  <c r="G20" i="2"/>
  <c r="E20" i="2"/>
  <c r="O19" i="2"/>
  <c r="M19" i="2"/>
  <c r="K19" i="2"/>
  <c r="I19" i="2"/>
  <c r="G19" i="2"/>
  <c r="E19" i="2"/>
  <c r="O18" i="2"/>
  <c r="M18" i="2"/>
  <c r="K18" i="2"/>
  <c r="I18" i="2"/>
  <c r="G18" i="2"/>
  <c r="E18" i="2"/>
  <c r="O17" i="2"/>
  <c r="M17" i="2"/>
  <c r="K17" i="2"/>
  <c r="I17" i="2"/>
  <c r="G17" i="2"/>
  <c r="E17" i="2"/>
  <c r="O16" i="2"/>
  <c r="M16" i="2"/>
  <c r="K16" i="2"/>
  <c r="I16" i="2"/>
  <c r="G16" i="2"/>
  <c r="E16" i="2"/>
  <c r="O15" i="2"/>
  <c r="M15" i="2"/>
  <c r="K15" i="2"/>
  <c r="I15" i="2"/>
  <c r="G15" i="2"/>
  <c r="E15" i="2"/>
  <c r="O14" i="2"/>
  <c r="M14" i="2"/>
  <c r="K14" i="2"/>
  <c r="I14" i="2"/>
  <c r="G14" i="2"/>
  <c r="E14" i="2"/>
  <c r="O13" i="2"/>
  <c r="M13" i="2"/>
  <c r="K13" i="2"/>
  <c r="I13" i="2"/>
  <c r="G13" i="2"/>
  <c r="E13" i="2"/>
  <c r="O12" i="2"/>
  <c r="M12" i="2"/>
  <c r="K12" i="2"/>
  <c r="I12" i="2"/>
  <c r="G12" i="2"/>
  <c r="E12" i="2"/>
  <c r="O11" i="2"/>
  <c r="M11" i="2"/>
  <c r="K11" i="2"/>
  <c r="I11" i="2"/>
  <c r="G11" i="2"/>
  <c r="E11" i="2"/>
  <c r="O10" i="2"/>
  <c r="M10" i="2"/>
  <c r="K10" i="2"/>
  <c r="I10" i="2"/>
  <c r="G10" i="2"/>
  <c r="E10" i="2"/>
  <c r="O9" i="2"/>
  <c r="M9" i="2"/>
  <c r="K9" i="2"/>
  <c r="I9" i="2"/>
  <c r="G9" i="2"/>
  <c r="E9" i="2"/>
  <c r="O8" i="2"/>
  <c r="M8" i="2"/>
  <c r="K8" i="2"/>
  <c r="I8" i="2"/>
  <c r="G8" i="2"/>
  <c r="E8" i="2"/>
  <c r="O7" i="2"/>
  <c r="M7" i="2"/>
  <c r="K7" i="2"/>
  <c r="I7" i="2"/>
  <c r="G7" i="2"/>
  <c r="E7" i="2"/>
  <c r="O6" i="2"/>
  <c r="M6" i="2"/>
  <c r="K6" i="2"/>
  <c r="I6" i="2"/>
  <c r="G6" i="2"/>
  <c r="E6" i="2"/>
  <c r="O5" i="2"/>
  <c r="M5" i="2"/>
  <c r="K5" i="2"/>
  <c r="I5" i="2"/>
  <c r="G5" i="2"/>
  <c r="E5" i="2"/>
  <c r="O4" i="2"/>
  <c r="M4" i="2"/>
  <c r="K4" i="2"/>
  <c r="I4" i="2"/>
  <c r="G4" i="2"/>
  <c r="E4" i="2"/>
  <c r="O3" i="2"/>
  <c r="M3" i="2"/>
  <c r="K3" i="2"/>
  <c r="I3" i="2"/>
  <c r="G3" i="2"/>
  <c r="E3" i="2"/>
  <c r="O2" i="2"/>
  <c r="B8" i="3" s="1"/>
  <c r="M2" i="2"/>
  <c r="K2" i="2"/>
  <c r="B5" i="3" s="1"/>
  <c r="I2" i="2"/>
  <c r="B4" i="3" s="1"/>
  <c r="G2" i="2"/>
  <c r="B3" i="3" s="1"/>
  <c r="E2" i="2"/>
</calcChain>
</file>

<file path=xl/sharedStrings.xml><?xml version="1.0" encoding="utf-8"?>
<sst xmlns="http://schemas.openxmlformats.org/spreadsheetml/2006/main" count="3076" uniqueCount="834">
  <si>
    <t>CustomerKey</t>
  </si>
  <si>
    <t>Prefix</t>
  </si>
  <si>
    <t>FirstName</t>
  </si>
  <si>
    <t>LastName</t>
  </si>
  <si>
    <t>FullName</t>
  </si>
  <si>
    <t>BirthDate</t>
  </si>
  <si>
    <t>Year of Birth</t>
  </si>
  <si>
    <t>MaritalStatus</t>
  </si>
  <si>
    <t>Marital Status Full</t>
  </si>
  <si>
    <t>Gender</t>
  </si>
  <si>
    <t>Gender Full</t>
  </si>
  <si>
    <t>EmailAddress</t>
  </si>
  <si>
    <t>Username</t>
  </si>
  <si>
    <t>AnnualIncome</t>
  </si>
  <si>
    <t>Wealth Category</t>
  </si>
  <si>
    <t>TotalChildren</t>
  </si>
  <si>
    <t>EducationLevel</t>
  </si>
  <si>
    <t>Occupation</t>
  </si>
  <si>
    <t>HomeOwner</t>
  </si>
  <si>
    <t>MR.</t>
  </si>
  <si>
    <t>CLARENCE</t>
  </si>
  <si>
    <t>ZHANG</t>
  </si>
  <si>
    <t>S</t>
  </si>
  <si>
    <t>M</t>
  </si>
  <si>
    <t>clarence37@adventure-works.com</t>
  </si>
  <si>
    <t>Graduate Degree</t>
  </si>
  <si>
    <t>Management</t>
  </si>
  <si>
    <t>Y</t>
  </si>
  <si>
    <t>ROGER</t>
  </si>
  <si>
    <t>CAI</t>
  </si>
  <si>
    <t>roger25@adventure-works.com</t>
  </si>
  <si>
    <t>N</t>
  </si>
  <si>
    <t>MRS.</t>
  </si>
  <si>
    <t>JILL</t>
  </si>
  <si>
    <t>HERNANDEZ</t>
  </si>
  <si>
    <t>F</t>
  </si>
  <si>
    <t>jill11@adventure-works.com</t>
  </si>
  <si>
    <t>RANDY</t>
  </si>
  <si>
    <t>CHEN</t>
  </si>
  <si>
    <t>randy4@adventure-works.com</t>
  </si>
  <si>
    <t>DESIREE</t>
  </si>
  <si>
    <t>ALVAREZ</t>
  </si>
  <si>
    <t>desiree0@adventure-works.com</t>
  </si>
  <si>
    <t>MS.</t>
  </si>
  <si>
    <t>WHITNEY</t>
  </si>
  <si>
    <t>RANA</t>
  </si>
  <si>
    <t>whitney10@adventure-works.com</t>
  </si>
  <si>
    <t>Bachelors</t>
  </si>
  <si>
    <t>Professional</t>
  </si>
  <si>
    <t>BROOKE</t>
  </si>
  <si>
    <t>WARD</t>
  </si>
  <si>
    <t>brooke11@adventure-works.com</t>
  </si>
  <si>
    <t>ALBERTO</t>
  </si>
  <si>
    <t>MUÑOZ</t>
  </si>
  <si>
    <t>alberto8@adventure-works.com</t>
  </si>
  <si>
    <t>MINDY</t>
  </si>
  <si>
    <t>SHE</t>
  </si>
  <si>
    <t>mindy4@adventure-works.com</t>
  </si>
  <si>
    <t>ERICA</t>
  </si>
  <si>
    <t>YE</t>
  </si>
  <si>
    <t>erica9@adventure-works.com</t>
  </si>
  <si>
    <t>ANNE</t>
  </si>
  <si>
    <t>ORTEGA</t>
  </si>
  <si>
    <t>anne22@adventure-works.com</t>
  </si>
  <si>
    <t>KRYSTAL</t>
  </si>
  <si>
    <t>HU</t>
  </si>
  <si>
    <t>krystal20@adventure-works.com</t>
  </si>
  <si>
    <t>VINCENT</t>
  </si>
  <si>
    <t>vincent9@adventure-works.com</t>
  </si>
  <si>
    <t>JAMES</t>
  </si>
  <si>
    <t>CLARK</t>
  </si>
  <si>
    <t>james92@adventure-works.com</t>
  </si>
  <si>
    <t>REBECCA</t>
  </si>
  <si>
    <t>PARKER</t>
  </si>
  <si>
    <t>rebecca10@adventure-works.com</t>
  </si>
  <si>
    <t>ANTONIO</t>
  </si>
  <si>
    <t>BRYANT</t>
  </si>
  <si>
    <t>antonio18@adventure-works.com</t>
  </si>
  <si>
    <t>XAVIER</t>
  </si>
  <si>
    <t>ALEXANDER</t>
  </si>
  <si>
    <t>xavier59@adventure-works.com</t>
  </si>
  <si>
    <t>Partial College</t>
  </si>
  <si>
    <t>Skilled Manual</t>
  </si>
  <si>
    <t>BRENDAN</t>
  </si>
  <si>
    <t>XIE</t>
  </si>
  <si>
    <t>brendan3@adventure-works.com</t>
  </si>
  <si>
    <t>High School</t>
  </si>
  <si>
    <t>DESTINY</t>
  </si>
  <si>
    <t>MURPHY</t>
  </si>
  <si>
    <t>destiny31@adventure-works.com</t>
  </si>
  <si>
    <t>MADALENA</t>
  </si>
  <si>
    <t>SANCHEZ</t>
  </si>
  <si>
    <t>madalena0@adventure-works.com</t>
  </si>
  <si>
    <t>Partial High School</t>
  </si>
  <si>
    <t>Clerical</t>
  </si>
  <si>
    <t>KENDRA</t>
  </si>
  <si>
    <t>DIAZ</t>
  </si>
  <si>
    <t>kendra3@adventure-works.com</t>
  </si>
  <si>
    <t>RAFAEL</t>
  </si>
  <si>
    <t>MA</t>
  </si>
  <si>
    <t>rafael17@adventure-works.com</t>
  </si>
  <si>
    <t>DOMINIQUE</t>
  </si>
  <si>
    <t>RAMAN</t>
  </si>
  <si>
    <t>dominique9@adventure-works.com</t>
  </si>
  <si>
    <t>MARC</t>
  </si>
  <si>
    <t>MORENO</t>
  </si>
  <si>
    <t>marc10@adventure-works.com</t>
  </si>
  <si>
    <t>REGINALD</t>
  </si>
  <si>
    <t>SERRANO</t>
  </si>
  <si>
    <t>reginald2@adventure-works.com</t>
  </si>
  <si>
    <t>COLLEEN</t>
  </si>
  <si>
    <t>ZHENG</t>
  </si>
  <si>
    <t>colleen20@adventure-works.com</t>
  </si>
  <si>
    <t>JEREMY</t>
  </si>
  <si>
    <t>PATTERSON</t>
  </si>
  <si>
    <t>jeremy27@adventure-works.com</t>
  </si>
  <si>
    <t>DALTON</t>
  </si>
  <si>
    <t>THOMPSON</t>
  </si>
  <si>
    <t>dalton14@adventure-works.com</t>
  </si>
  <si>
    <t>JENNIFER</t>
  </si>
  <si>
    <t>FOSTER</t>
  </si>
  <si>
    <t>jennifer89@adventure-works.com</t>
  </si>
  <si>
    <t>SOPHIA</t>
  </si>
  <si>
    <t>LOPEZ</t>
  </si>
  <si>
    <t>sophia19@adventure-works.com</t>
  </si>
  <si>
    <t>HUNTER</t>
  </si>
  <si>
    <t>SHAN</t>
  </si>
  <si>
    <t>hunter26@adventure-works.com</t>
  </si>
  <si>
    <t>KEVIN</t>
  </si>
  <si>
    <t>BAKER</t>
  </si>
  <si>
    <t>kevin45@adventure-works.com</t>
  </si>
  <si>
    <t>GONZALEZ</t>
  </si>
  <si>
    <t>xavier31@adventure-works.com</t>
  </si>
  <si>
    <t>KELSEY</t>
  </si>
  <si>
    <t>YUAN</t>
  </si>
  <si>
    <t>kelsey6@adventure-works.com</t>
  </si>
  <si>
    <t>KRISTY</t>
  </si>
  <si>
    <t>TORRES</t>
  </si>
  <si>
    <t>kristy11@adventure-works.com</t>
  </si>
  <si>
    <t>VIRGINIA</t>
  </si>
  <si>
    <t>SUBRAM</t>
  </si>
  <si>
    <t>virginia15@adventure-works.com</t>
  </si>
  <si>
    <t>TERRENCE</t>
  </si>
  <si>
    <t>PAL</t>
  </si>
  <si>
    <t>terrence12@adventure-works.com</t>
  </si>
  <si>
    <t>WILSON</t>
  </si>
  <si>
    <t>PAIS</t>
  </si>
  <si>
    <t>wilson0@adventure-works.com</t>
  </si>
  <si>
    <t>TRISHA</t>
  </si>
  <si>
    <t>trisha10@adventure-works.com</t>
  </si>
  <si>
    <t>ROY</t>
  </si>
  <si>
    <t>roy19@adventure-works.com</t>
  </si>
  <si>
    <t>CAMERON</t>
  </si>
  <si>
    <t>BROWN</t>
  </si>
  <si>
    <t>cameron45@adventure-works.com</t>
  </si>
  <si>
    <t>ALISON</t>
  </si>
  <si>
    <t>alison12@adventure-works.com</t>
  </si>
  <si>
    <t>BRENDA</t>
  </si>
  <si>
    <t>MADAN</t>
  </si>
  <si>
    <t>brenda11@adventure-works.com</t>
  </si>
  <si>
    <t>KATRINA</t>
  </si>
  <si>
    <t>JAI</t>
  </si>
  <si>
    <t>katrina10@adventure-works.com</t>
  </si>
  <si>
    <t>GOMEZ</t>
  </si>
  <si>
    <t>anne2@adventure-works.com</t>
  </si>
  <si>
    <t>JONATHAN</t>
  </si>
  <si>
    <t>RODRIGUEZ</t>
  </si>
  <si>
    <t>jonathan74@adventure-works.com</t>
  </si>
  <si>
    <t>RODNEY</t>
  </si>
  <si>
    <t>VAZQUEZ</t>
  </si>
  <si>
    <t>rodney10@adventure-works.com</t>
  </si>
  <si>
    <t>ALEXIS</t>
  </si>
  <si>
    <t>HAYES</t>
  </si>
  <si>
    <t>alexis46@adventure-works.com</t>
  </si>
  <si>
    <t>AUTUMN</t>
  </si>
  <si>
    <t>WANG</t>
  </si>
  <si>
    <t>autumn1@adventure-works.com</t>
  </si>
  <si>
    <t>DENNIS</t>
  </si>
  <si>
    <t>ZENG</t>
  </si>
  <si>
    <t>dennis24@adventure-works.com</t>
  </si>
  <si>
    <t>ETHAN</t>
  </si>
  <si>
    <t>JONES</t>
  </si>
  <si>
    <t>ethan33@adventure-works.com</t>
  </si>
  <si>
    <t>JARED</t>
  </si>
  <si>
    <t>MORRIS</t>
  </si>
  <si>
    <t>jared20@adventure-works.com</t>
  </si>
  <si>
    <t>LU</t>
  </si>
  <si>
    <t>vincent11@adventure-works.com</t>
  </si>
  <si>
    <t>BRYCE</t>
  </si>
  <si>
    <t>bryce11@adventure-works.com</t>
  </si>
  <si>
    <t>PATRICK</t>
  </si>
  <si>
    <t>GRAY</t>
  </si>
  <si>
    <t>patrick12@adventure-works.com</t>
  </si>
  <si>
    <t>MORGAN</t>
  </si>
  <si>
    <t>BLUE</t>
  </si>
  <si>
    <t>morgan52@adventure-works.com</t>
  </si>
  <si>
    <t>POWELL</t>
  </si>
  <si>
    <t>destiny57@adventure-works.com</t>
  </si>
  <si>
    <t>RAMON</t>
  </si>
  <si>
    <t>HUANG</t>
  </si>
  <si>
    <t>ramon5@adventure-works.com</t>
  </si>
  <si>
    <t>KEITH</t>
  </si>
  <si>
    <t>DENG</t>
  </si>
  <si>
    <t>keith3@adventure-works.com</t>
  </si>
  <si>
    <t>EUGENE</t>
  </si>
  <si>
    <t>ZHU</t>
  </si>
  <si>
    <t>eugene18@adventure-works.com</t>
  </si>
  <si>
    <t>ANDERSON</t>
  </si>
  <si>
    <t>ethan43@adventure-works.com</t>
  </si>
  <si>
    <t>EDUARDO</t>
  </si>
  <si>
    <t>WILLIAMS</t>
  </si>
  <si>
    <t>eduardo2@adventure-works.com</t>
  </si>
  <si>
    <t>JESSICA</t>
  </si>
  <si>
    <t>JOHNSON</t>
  </si>
  <si>
    <t>jessica48@adventure-works.com</t>
  </si>
  <si>
    <t>dalton42@adventure-works.com</t>
  </si>
  <si>
    <t>morgan14@adventure-works.com</t>
  </si>
  <si>
    <t>CARSON</t>
  </si>
  <si>
    <t>PERRY</t>
  </si>
  <si>
    <t>carson6@adventure-works.com</t>
  </si>
  <si>
    <t>OLIVIA</t>
  </si>
  <si>
    <t>GARCIA</t>
  </si>
  <si>
    <t>olivia15@adventure-works.com</t>
  </si>
  <si>
    <t>ALEXANDRIA</t>
  </si>
  <si>
    <t>alexandria39@adventure-works.com</t>
  </si>
  <si>
    <t>ADAM</t>
  </si>
  <si>
    <t>GREEN</t>
  </si>
  <si>
    <t>adam45@adventure-works.com</t>
  </si>
  <si>
    <t>EMMA</t>
  </si>
  <si>
    <t>emma18@adventure-works.com</t>
  </si>
  <si>
    <t>THOMAS</t>
  </si>
  <si>
    <t>WALKER</t>
  </si>
  <si>
    <t>thomas82@adventure-works.com</t>
  </si>
  <si>
    <t>ROGERS</t>
  </si>
  <si>
    <t>emma27@adventure-works.com</t>
  </si>
  <si>
    <t>SYDNEY</t>
  </si>
  <si>
    <t>sydney62@adventure-works.com</t>
  </si>
  <si>
    <t>GRACE</t>
  </si>
  <si>
    <t>HUGHES</t>
  </si>
  <si>
    <t>grace59@adventure-works.com</t>
  </si>
  <si>
    <t>KELVIN</t>
  </si>
  <si>
    <t>LIN</t>
  </si>
  <si>
    <t>kelvin27@adventure-works.com</t>
  </si>
  <si>
    <t>CRAIG</t>
  </si>
  <si>
    <t>MUNOZ</t>
  </si>
  <si>
    <t>craig8@adventure-works.com</t>
  </si>
  <si>
    <t>ALEJANDRO</t>
  </si>
  <si>
    <t>GOEL</t>
  </si>
  <si>
    <t>alejandro44@adventure-works.com</t>
  </si>
  <si>
    <t>MICHELE</t>
  </si>
  <si>
    <t>CHANDE</t>
  </si>
  <si>
    <t>michele15@adventure-works.com</t>
  </si>
  <si>
    <t>EDWIN</t>
  </si>
  <si>
    <t>BHAT</t>
  </si>
  <si>
    <t>edwin43@adventure-works.com</t>
  </si>
  <si>
    <t>DENISE</t>
  </si>
  <si>
    <t>MEHTA</t>
  </si>
  <si>
    <t>denise15@adventure-works.com</t>
  </si>
  <si>
    <t>KRISTA</t>
  </si>
  <si>
    <t>RUIZ</t>
  </si>
  <si>
    <t>krista2@adventure-works.com</t>
  </si>
  <si>
    <t>JUAN</t>
  </si>
  <si>
    <t>PETERSON</t>
  </si>
  <si>
    <t>juan15@adventure-works.com</t>
  </si>
  <si>
    <t>JORDYN</t>
  </si>
  <si>
    <t>BUTLER</t>
  </si>
  <si>
    <t>jordyn14@adventure-works.com</t>
  </si>
  <si>
    <t>LUIS</t>
  </si>
  <si>
    <t>luis10@adventure-works.com</t>
  </si>
  <si>
    <t>DANIEL</t>
  </si>
  <si>
    <t>HARRIS</t>
  </si>
  <si>
    <t>daniel10@adventure-works.com</t>
  </si>
  <si>
    <t>BLAKE</t>
  </si>
  <si>
    <t>NELSON</t>
  </si>
  <si>
    <t>blake36@adventure-works.com</t>
  </si>
  <si>
    <t>COLLINS</t>
  </si>
  <si>
    <t>jeremy19@adventure-works.com</t>
  </si>
  <si>
    <t>MEGAN</t>
  </si>
  <si>
    <t>megan58@adventure-works.com</t>
  </si>
  <si>
    <t>ELIZABETH</t>
  </si>
  <si>
    <t>elizabeth47@adventure-works.com</t>
  </si>
  <si>
    <t>WAYNE</t>
  </si>
  <si>
    <t>TANG</t>
  </si>
  <si>
    <t>wayne5@adventure-works.com</t>
  </si>
  <si>
    <t>DEANNA</t>
  </si>
  <si>
    <t>MARTIN</t>
  </si>
  <si>
    <t>deanna25@adventure-works.com</t>
  </si>
  <si>
    <t>WILLIAM</t>
  </si>
  <si>
    <t>william29@adventure-works.com</t>
  </si>
  <si>
    <t>MICHELLE</t>
  </si>
  <si>
    <t>michelle9@adventure-works.com</t>
  </si>
  <si>
    <t>antonio22@adventure-works.com</t>
  </si>
  <si>
    <t>JORDAN</t>
  </si>
  <si>
    <t>GRIFFIN</t>
  </si>
  <si>
    <t>jordan18@adventure-works.com</t>
  </si>
  <si>
    <t>jonathan24@adventure-works.com</t>
  </si>
  <si>
    <t>dalton57@adventure-works.com</t>
  </si>
  <si>
    <t>MIGUEL</t>
  </si>
  <si>
    <t>RUSSELL</t>
  </si>
  <si>
    <t>miguel66@adventure-works.com</t>
  </si>
  <si>
    <t>JAY</t>
  </si>
  <si>
    <t>ROMERO</t>
  </si>
  <si>
    <t>jay38@adventure-works.com</t>
  </si>
  <si>
    <t>PEREZ</t>
  </si>
  <si>
    <t>jeremy14@adventure-works.com</t>
  </si>
  <si>
    <t>ALEX</t>
  </si>
  <si>
    <t>alex21@adventure-works.com</t>
  </si>
  <si>
    <t>MARIAH</t>
  </si>
  <si>
    <t>mariah23@adventure-works.com</t>
  </si>
  <si>
    <t>RAJI</t>
  </si>
  <si>
    <t>brendan19@adventure-works.com</t>
  </si>
  <si>
    <t>GREGORY</t>
  </si>
  <si>
    <t>BECKER</t>
  </si>
  <si>
    <t>gregory24@adventure-works.com</t>
  </si>
  <si>
    <t>KOVÁR</t>
  </si>
  <si>
    <t>whitney4@adventure-works.com</t>
  </si>
  <si>
    <t>EBONY</t>
  </si>
  <si>
    <t>ebony30@adventure-works.com</t>
  </si>
  <si>
    <t>MARY</t>
  </si>
  <si>
    <t>mary22@adventure-works.com</t>
  </si>
  <si>
    <t>CURTIS</t>
  </si>
  <si>
    <t>curtis2@adventure-works.com</t>
  </si>
  <si>
    <t>CHERYL</t>
  </si>
  <si>
    <t>NAVARRO</t>
  </si>
  <si>
    <t>cheryl12@adventure-works.com</t>
  </si>
  <si>
    <t>HANNAH</t>
  </si>
  <si>
    <t>hannah36@adventure-works.com</t>
  </si>
  <si>
    <t>BIANCA</t>
  </si>
  <si>
    <t>GAO</t>
  </si>
  <si>
    <t>bianca11@adventure-works.com</t>
  </si>
  <si>
    <t>bryant19@adventure-works.com</t>
  </si>
  <si>
    <t>CLAUDIA</t>
  </si>
  <si>
    <t>claudia0@adventure-works.com</t>
  </si>
  <si>
    <t>WU</t>
  </si>
  <si>
    <t>clarence2@adventure-works.com</t>
  </si>
  <si>
    <t>TYRONE</t>
  </si>
  <si>
    <t>tyrone2@adventure-works.com</t>
  </si>
  <si>
    <t>EVELYN</t>
  </si>
  <si>
    <t>evelyn20@adventure-works.com</t>
  </si>
  <si>
    <t>COOK</t>
  </si>
  <si>
    <t>sydney5@adventure-works.com</t>
  </si>
  <si>
    <t>JACLYN</t>
  </si>
  <si>
    <t>GUO</t>
  </si>
  <si>
    <t>jaclyn19@adventure-works.com</t>
  </si>
  <si>
    <t>LEVI</t>
  </si>
  <si>
    <t>WEBER</t>
  </si>
  <si>
    <t>levi3@adventure-works.com</t>
  </si>
  <si>
    <t>LATASHA</t>
  </si>
  <si>
    <t>JIMENEZ</t>
  </si>
  <si>
    <t>latasha5@adventure-works.com</t>
  </si>
  <si>
    <t>CATHERINE</t>
  </si>
  <si>
    <t>COX</t>
  </si>
  <si>
    <t>catherine9@adventure-works.com</t>
  </si>
  <si>
    <t>KELLI</t>
  </si>
  <si>
    <t>kelli44@adventure-works.com</t>
  </si>
  <si>
    <t>MARCO</t>
  </si>
  <si>
    <t>VANCE</t>
  </si>
  <si>
    <t>marco4@adventure-works.com</t>
  </si>
  <si>
    <t>alejandro23@adventure-works.com</t>
  </si>
  <si>
    <t>LYDIA</t>
  </si>
  <si>
    <t>SURI</t>
  </si>
  <si>
    <t>lydia0@adventure-works.com</t>
  </si>
  <si>
    <t>SHANE</t>
  </si>
  <si>
    <t>FERNANDEZ</t>
  </si>
  <si>
    <t>shane18@adventure-works.com</t>
  </si>
  <si>
    <t>WEST</t>
  </si>
  <si>
    <t>colleen1@adventure-works.com</t>
  </si>
  <si>
    <t>JOY</t>
  </si>
  <si>
    <t>RAMOS</t>
  </si>
  <si>
    <t>joy16@adventure-works.com</t>
  </si>
  <si>
    <t>MILLER</t>
  </si>
  <si>
    <t>dalton5@adventure-works.com</t>
  </si>
  <si>
    <t>BRIANA</t>
  </si>
  <si>
    <t>briana3@adventure-works.com</t>
  </si>
  <si>
    <t>CASEY</t>
  </si>
  <si>
    <t>casey38@adventure-works.com</t>
  </si>
  <si>
    <t>DEVON</t>
  </si>
  <si>
    <t>KENNEDY</t>
  </si>
  <si>
    <t>devon5@adventure-works.com</t>
  </si>
  <si>
    <t>SARA</t>
  </si>
  <si>
    <t>sara24@adventure-works.com</t>
  </si>
  <si>
    <t>JOHNNY</t>
  </si>
  <si>
    <t>RAI</t>
  </si>
  <si>
    <t>johnny19@adventure-works.com</t>
  </si>
  <si>
    <t>MARTINEZ</t>
  </si>
  <si>
    <t>virginia20@adventure-works.com</t>
  </si>
  <si>
    <t>JACQUELINE</t>
  </si>
  <si>
    <t>SIMMONS</t>
  </si>
  <si>
    <t>jacqueline16@adventure-works.com</t>
  </si>
  <si>
    <t>TERESA</t>
  </si>
  <si>
    <t>ALONSO</t>
  </si>
  <si>
    <t>NA</t>
  </si>
  <si>
    <t>teresa8@adventure-works.com</t>
  </si>
  <si>
    <t>CARMEN</t>
  </si>
  <si>
    <t>carmen3@adventure-works.com</t>
  </si>
  <si>
    <t>WALTER</t>
  </si>
  <si>
    <t>walter16@adventure-works.com</t>
  </si>
  <si>
    <t>MOORE</t>
  </si>
  <si>
    <t>xavier6@adventure-works.com</t>
  </si>
  <si>
    <t>JACKSON</t>
  </si>
  <si>
    <t>hannah11@adventure-works.com</t>
  </si>
  <si>
    <t>STEWART</t>
  </si>
  <si>
    <t>destiny23@adventure-works.com</t>
  </si>
  <si>
    <t>GILBERT</t>
  </si>
  <si>
    <t>XU</t>
  </si>
  <si>
    <t>gilbert9@adventure-works.com</t>
  </si>
  <si>
    <t>GABRIELLA</t>
  </si>
  <si>
    <t>RAMIREZ</t>
  </si>
  <si>
    <t>gabriella4@adventure-works.com</t>
  </si>
  <si>
    <t>CEDRIC</t>
  </si>
  <si>
    <t>cedric8@adventure-works.com</t>
  </si>
  <si>
    <t>TYLER</t>
  </si>
  <si>
    <t>tyler18@adventure-works.com</t>
  </si>
  <si>
    <t>LINDA</t>
  </si>
  <si>
    <t>FERRIER</t>
  </si>
  <si>
    <t>linda23@adventure-works.com</t>
  </si>
  <si>
    <t>LACEY</t>
  </si>
  <si>
    <t>YANG</t>
  </si>
  <si>
    <t>lacey17@adventure-works.com</t>
  </si>
  <si>
    <t>ethan41@adventure-works.com</t>
  </si>
  <si>
    <t>GABRIELLE</t>
  </si>
  <si>
    <t>gabrielle36@adventure-works.com</t>
  </si>
  <si>
    <t>JACK</t>
  </si>
  <si>
    <t>HILL</t>
  </si>
  <si>
    <t>jack49@adventure-works.com</t>
  </si>
  <si>
    <t>JON</t>
  </si>
  <si>
    <t>jon24@adventure-works.com</t>
  </si>
  <si>
    <t>eugene10@adventure-works.com</t>
  </si>
  <si>
    <t>RUBEN</t>
  </si>
  <si>
    <t>ruben35@adventure-works.com</t>
  </si>
  <si>
    <t>CHRISTY</t>
  </si>
  <si>
    <t>christy12@adventure-works.com</t>
  </si>
  <si>
    <t>elizabeth5@adventure-works.com</t>
  </si>
  <si>
    <t>JULIO</t>
  </si>
  <si>
    <t>julio1@adventure-works.com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</si>
  <si>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</si>
  <si>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</si>
  <si>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</si>
  <si>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</si>
  <si>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</si>
  <si>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</si>
  <si>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</si>
  <si>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</si>
  <si>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</si>
  <si>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</si>
  <si>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curtis9@adventure-works.com</t>
  </si>
  <si>
    <t>LAUREN</t>
  </si>
  <si>
    <t>lauren41@adventure-works.com</t>
  </si>
  <si>
    <t>IAN</t>
  </si>
  <si>
    <t>JENKINS</t>
  </si>
  <si>
    <t>ian47@adventure-works.com</t>
  </si>
  <si>
    <t>BENNETT</t>
  </si>
  <si>
    <t>sydney23@adventure-works.com</t>
  </si>
  <si>
    <t>CHLOE</t>
  </si>
  <si>
    <t>YOUNG</t>
  </si>
  <si>
    <t>chloe23@adventure-works.com</t>
  </si>
  <si>
    <t>WYATT</t>
  </si>
  <si>
    <t>wyatt32@adventure-works.com</t>
  </si>
  <si>
    <t>shannon1@adventure-works.com</t>
  </si>
  <si>
    <t>clarence32@adventure-works.com</t>
  </si>
  <si>
    <t>LUKE</t>
  </si>
  <si>
    <t>LAL</t>
  </si>
  <si>
    <t>luke18@adventure-works.com</t>
  </si>
  <si>
    <t>KING</t>
  </si>
  <si>
    <t>jordan73@adventure-works.com</t>
  </si>
  <si>
    <t>destiny7@adventure-works.com</t>
  </si>
  <si>
    <t>ethan20@adventure-works.com</t>
  </si>
  <si>
    <t>SETH</t>
  </si>
  <si>
    <t>EDWARDS</t>
  </si>
  <si>
    <t>seth46@adventure-works.com</t>
  </si>
  <si>
    <t>russell7@adventure-works.com</t>
  </si>
  <si>
    <t>BECK</t>
  </si>
  <si>
    <t>alejandro45@adventure-works.com</t>
  </si>
  <si>
    <t>HAROLD</t>
  </si>
  <si>
    <t>SAI</t>
  </si>
  <si>
    <t>harold3@adventure-works.com</t>
  </si>
  <si>
    <t>JESSIE</t>
  </si>
  <si>
    <t>ZHAO</t>
  </si>
  <si>
    <t>jessie16@adventure-works.com</t>
  </si>
  <si>
    <t>jill13@adventure-works.com</t>
  </si>
  <si>
    <t>JIMMY</t>
  </si>
  <si>
    <t>jimmy9@adventure-works.com</t>
  </si>
  <si>
    <t>BETHANY</t>
  </si>
  <si>
    <t>bethany10@adventure-works.com</t>
  </si>
  <si>
    <t>THERESA</t>
  </si>
  <si>
    <t>theresa13@adventure-works.com</t>
  </si>
  <si>
    <t>STONE</t>
  </si>
  <si>
    <t>denise10@adventure-works.com</t>
  </si>
  <si>
    <t>JAIME</t>
  </si>
  <si>
    <t>NATH</t>
  </si>
  <si>
    <t>jaime41@adventure-works.com</t>
  </si>
  <si>
    <t>ebony19@adventure-works.com</t>
  </si>
  <si>
    <t>WENDY</t>
  </si>
  <si>
    <t>DOMINGUEZ</t>
  </si>
  <si>
    <t>wendy12@adventure-works.com</t>
  </si>
  <si>
    <t>jennifer93@adventure-works.com</t>
  </si>
  <si>
    <t>chloe27@adventure-works.com</t>
  </si>
  <si>
    <t>DIANA</t>
  </si>
  <si>
    <t>diana2@adventure-works.com</t>
  </si>
  <si>
    <t>marc3@adventure-works.com</t>
  </si>
  <si>
    <t>JESSE</t>
  </si>
  <si>
    <t>jesse15@adventure-works.com</t>
  </si>
  <si>
    <t>AMANDA</t>
  </si>
  <si>
    <t>CARTER</t>
  </si>
  <si>
    <t>amanda53@adventure-works.com</t>
  </si>
  <si>
    <t>megan28@adventure-works.com</t>
  </si>
  <si>
    <t>NATHAN</t>
  </si>
  <si>
    <t>nathan11@adventure-works.com</t>
  </si>
  <si>
    <t>FLORES</t>
  </si>
  <si>
    <t>adam10@adventure-works.com</t>
  </si>
  <si>
    <t>LEONARD</t>
  </si>
  <si>
    <t>NARA</t>
  </si>
  <si>
    <t>leonard18@adventure-works.com</t>
  </si>
  <si>
    <t>CHRISTINE</t>
  </si>
  <si>
    <t>christine4@adventure-works.com</t>
  </si>
  <si>
    <t>jaclyn12@adventure-works.com</t>
  </si>
  <si>
    <t>jeremy26@adventure-works.com</t>
  </si>
  <si>
    <t>CAROL</t>
  </si>
  <si>
    <t>carol8@adventure-works.com</t>
  </si>
  <si>
    <t>ALAN</t>
  </si>
  <si>
    <t>alan23@adventure-works.com</t>
  </si>
  <si>
    <t>daniel18@adventure-works.com</t>
  </si>
  <si>
    <t>HEIDI</t>
  </si>
  <si>
    <t>heidi19@adventure-works.com</t>
  </si>
  <si>
    <t>ANA</t>
  </si>
  <si>
    <t>PRICE</t>
  </si>
  <si>
    <t>ana0@adventure-works.com</t>
  </si>
  <si>
    <t>deanna33@adventure-works.com</t>
  </si>
  <si>
    <t>RAJE</t>
  </si>
  <si>
    <t>gilbert35@adventure-works.com</t>
  </si>
  <si>
    <t>michele19@adventure-works.com</t>
  </si>
  <si>
    <t>CARL</t>
  </si>
  <si>
    <t>ANDERSEN</t>
  </si>
  <si>
    <t>carl12@adventure-works.com</t>
  </si>
  <si>
    <t>marc6@adventure-works.com</t>
  </si>
  <si>
    <t>ASHLEE</t>
  </si>
  <si>
    <t>ashlee19@adventure-works.com</t>
  </si>
  <si>
    <t>ZHOU</t>
  </si>
  <si>
    <t>jon28@adventure-works.com</t>
  </si>
  <si>
    <t>TODD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</si>
  <si>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</si>
  <si>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</si>
  <si>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</si>
  <si>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</si>
  <si>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</si>
  <si>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</si>
  <si>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</si>
  <si>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</si>
  <si>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HENDERSON</t>
  </si>
  <si>
    <t>jessica29@adventure-works.com</t>
  </si>
  <si>
    <t>grace62@adventure-works.com</t>
  </si>
  <si>
    <t>CALEB</t>
  </si>
  <si>
    <t>caleb40@adventure-works.com</t>
  </si>
  <si>
    <t>TIFFANY</t>
  </si>
  <si>
    <t>LIANG</t>
  </si>
  <si>
    <t>tiffany17@adventure-works.com</t>
  </si>
  <si>
    <t>CAROLYN</t>
  </si>
  <si>
    <t>carolyn30@adventure-works.com</t>
  </si>
  <si>
    <t>WILLIE</t>
  </si>
  <si>
    <t>willie40@adventure-works.com</t>
  </si>
  <si>
    <t>linda31@adventure-works.com</t>
  </si>
  <si>
    <t>LUO</t>
  </si>
  <si>
    <t>casey6@adventure-works.com</t>
  </si>
  <si>
    <t>AMY</t>
  </si>
  <si>
    <t>amy16@adventure-works.com</t>
  </si>
  <si>
    <t>ARUN</t>
  </si>
  <si>
    <t>levi6@adventure-works.com</t>
  </si>
  <si>
    <t>FELICIA</t>
  </si>
  <si>
    <t>felicia4@adventure-works.com</t>
  </si>
  <si>
    <t>blake9@adventure-works.com</t>
  </si>
  <si>
    <t>LEAH</t>
  </si>
  <si>
    <t>leah7@adventure-works.com</t>
  </si>
  <si>
    <t>GINA</t>
  </si>
  <si>
    <t>gina1@adventure-works.com</t>
  </si>
  <si>
    <t>DONALD</t>
  </si>
  <si>
    <t>donald20@adventure-works.com</t>
  </si>
  <si>
    <t>DAMIEN</t>
  </si>
  <si>
    <t>CHANDER</t>
  </si>
  <si>
    <t>damien32@adventure-works.com</t>
  </si>
  <si>
    <t>SAVANNAH</t>
  </si>
  <si>
    <t>savannah39@adventure-works.com</t>
  </si>
  <si>
    <t>angela17@adventure-works.com</t>
  </si>
  <si>
    <t>ALYSSA</t>
  </si>
  <si>
    <t>alyssa37@adventure-works.com</t>
  </si>
  <si>
    <t>LUCAS</t>
  </si>
  <si>
    <t>PHILLIPS</t>
  </si>
  <si>
    <t>lucas7@adventure-works.com</t>
  </si>
  <si>
    <t>EMILY</t>
  </si>
  <si>
    <t>emily1@adventure-works.com</t>
  </si>
  <si>
    <t>RYAN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</si>
  <si>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</si>
  <si>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</si>
  <si>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</si>
  <si>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</si>
  <si>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</si>
  <si>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</si>
  <si>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trevor18@adventure-works.com</t>
  </si>
  <si>
    <t>dalton37@adventure-works.com</t>
  </si>
  <si>
    <t>cheryl4@adventure-works.com</t>
  </si>
  <si>
    <t>AIMEE</t>
  </si>
  <si>
    <t>HE</t>
  </si>
  <si>
    <t>aimee13@adventure-works.com</t>
  </si>
  <si>
    <t>cedric15@adventure-works.com</t>
  </si>
  <si>
    <t>CHAD</t>
  </si>
  <si>
    <t>KUMAR</t>
  </si>
  <si>
    <t>chad9@adventure-works.com</t>
  </si>
  <si>
    <t>ANDRÉS</t>
  </si>
  <si>
    <t>ANAND</t>
  </si>
  <si>
    <t>andrés18@adventure-works.com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</si>
  <si>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</si>
  <si>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</si>
  <si>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</si>
  <si>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</si>
  <si>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</si>
  <si>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</si>
  <si>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latasha10@adventure-works.com</t>
  </si>
  <si>
    <t>ABBY</t>
  </si>
  <si>
    <t>abby4@adventure-works.com</t>
  </si>
  <si>
    <t>JULIA</t>
  </si>
  <si>
    <t>julia7@adventure-works.com</t>
  </si>
  <si>
    <t>CASSIE</t>
  </si>
  <si>
    <t>cassie13@adventure-works.com</t>
  </si>
  <si>
    <t>EDGAR</t>
  </si>
  <si>
    <t>edgar11@adventure-works.com</t>
  </si>
  <si>
    <t>CANDACE</t>
  </si>
  <si>
    <t>candace15@adventure-works.com</t>
  </si>
  <si>
    <t>LIU</t>
  </si>
  <si>
    <t>jessie9@adventure-works.com</t>
  </si>
  <si>
    <t>bianca7@adventure-works.com</t>
  </si>
  <si>
    <t>KARI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</si>
  <si>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</si>
  <si>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</si>
  <si>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</si>
  <si>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</si>
  <si>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</si>
  <si>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</si>
  <si>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meredith34@adventure-works.com</t>
  </si>
  <si>
    <t>CRYSTAL</t>
  </si>
  <si>
    <t>crystal3@adventure-works.com</t>
  </si>
  <si>
    <t>MICHEAL</t>
  </si>
  <si>
    <t>BLANCO</t>
  </si>
  <si>
    <t>micheal11@adventure-works.com</t>
  </si>
  <si>
    <t>LESLIE</t>
  </si>
  <si>
    <t>leslie7@adventure-works.com</t>
  </si>
  <si>
    <t>ALVIN</t>
  </si>
  <si>
    <t>alvin20@adventure-works.com</t>
  </si>
  <si>
    <t>CLINTON</t>
  </si>
  <si>
    <t>clinton14@adventure-works.com</t>
  </si>
  <si>
    <t>APRIL</t>
  </si>
  <si>
    <t>april1@adventure-works.com</t>
  </si>
  <si>
    <t>alvin21@adventure-works.com</t>
  </si>
  <si>
    <t>EVAN</t>
  </si>
  <si>
    <t>evan8@adventure-works.com</t>
  </si>
  <si>
    <t>ORLANDO</t>
  </si>
  <si>
    <t>orlando19@adventure-works.com</t>
  </si>
  <si>
    <t>BYRON</t>
  </si>
  <si>
    <t>byron9@adventure-works.com</t>
  </si>
  <si>
    <t>PHILIP</t>
  </si>
  <si>
    <t>philip4@adventure-works.com</t>
  </si>
  <si>
    <t>ross1@adventure-works.com</t>
  </si>
  <si>
    <t>DANA</t>
  </si>
  <si>
    <t>dana2@adventure-works.com</t>
  </si>
  <si>
    <t>SHAUN</t>
  </si>
  <si>
    <t>shaun16@adventure-works.com</t>
  </si>
  <si>
    <t>JAN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</si>
  <si>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</si>
  <si>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</si>
  <si>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</si>
  <si>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</si>
  <si>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</si>
  <si>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</si>
  <si>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</si>
  <si>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</si>
  <si>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</si>
  <si>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</si>
  <si>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</si>
  <si>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</si>
  <si>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melissa31@adventure-works.com</t>
  </si>
  <si>
    <t>angela23@adventure-works.com</t>
  </si>
  <si>
    <t>LARRY</t>
  </si>
  <si>
    <t>TOWNSEND</t>
  </si>
  <si>
    <t>larry14@adventure-works.com</t>
  </si>
  <si>
    <t>MARCUS</t>
  </si>
  <si>
    <t>marcus14@adventure-works.com</t>
  </si>
  <si>
    <t>BRIANNA</t>
  </si>
  <si>
    <t>brianna30@adventure-works.com</t>
  </si>
  <si>
    <t>JASMINE</t>
  </si>
  <si>
    <t>TAYLOR</t>
  </si>
  <si>
    <t>jasmine7@adventure-works.com</t>
  </si>
  <si>
    <t>DAVIS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</si>
  <si>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</si>
  <si>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</si>
  <si>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</si>
  <si>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</si>
  <si>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</si>
  <si>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</si>
  <si>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nicole42@adventure-works.com</t>
  </si>
  <si>
    <t>eduardo55@adventure-works.com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</si>
  <si>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</si>
  <si>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</si>
  <si>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</si>
  <si>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</si>
  <si>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</si>
  <si>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</si>
  <si>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karla20@adventure-works.com</t>
  </si>
  <si>
    <t>ERNEST</t>
  </si>
  <si>
    <t>ernest6@adventure-works.com</t>
  </si>
  <si>
    <t>ross32@adventure-works.com</t>
  </si>
  <si>
    <t>THEODORE</t>
  </si>
  <si>
    <t>GILL</t>
  </si>
  <si>
    <t>theodore14@adventure-works.com</t>
  </si>
  <si>
    <t>SHEN</t>
  </si>
  <si>
    <t>russell6@adventure-works.com</t>
  </si>
  <si>
    <t>MELINDA</t>
  </si>
  <si>
    <t>melinda9@adventure-works.com</t>
  </si>
  <si>
    <t>james77@adventure-works.com</t>
  </si>
  <si>
    <t>angela34@adventure-works.com</t>
  </si>
  <si>
    <t>megan25@adventure-works.com</t>
  </si>
  <si>
    <t>ROBINSON</t>
  </si>
  <si>
    <t>hunter50@adventure-works.com</t>
  </si>
  <si>
    <t>MARIA</t>
  </si>
  <si>
    <t>ROBERTS</t>
  </si>
  <si>
    <t>maria47@adventure-works.com</t>
  </si>
  <si>
    <t>hannah32@adventure-works.com</t>
  </si>
  <si>
    <t>JASON</t>
  </si>
  <si>
    <t>jason46@adventure-works.com</t>
  </si>
  <si>
    <t>brianna57@adventure-works.com</t>
  </si>
  <si>
    <t>MAURICE</t>
  </si>
  <si>
    <t>maurice4@adventure-works.com</t>
  </si>
  <si>
    <t>WOOD</t>
  </si>
  <si>
    <t>emily27@adventure-works.com</t>
  </si>
  <si>
    <t>chase10@adventure-works.com</t>
  </si>
  <si>
    <t>GABRIEL</t>
  </si>
  <si>
    <t>gabriel21@adventure-works.com</t>
  </si>
  <si>
    <t>DEVIN</t>
  </si>
  <si>
    <t>BROOKS</t>
  </si>
  <si>
    <t>devin63@adventure-works.com</t>
  </si>
  <si>
    <t>JOCELYN</t>
  </si>
  <si>
    <t>jocelyn18@adventure-works.com</t>
  </si>
  <si>
    <t>ASHLEY</t>
  </si>
  <si>
    <t>ashley18@adventure-works.com</t>
  </si>
  <si>
    <t>BARNES</t>
  </si>
  <si>
    <t>jasmine43@adventure-works.com</t>
  </si>
  <si>
    <t>DAVID</t>
  </si>
  <si>
    <t>david83@adventure-works.com</t>
  </si>
  <si>
    <t>bryce8@adventure-works.com</t>
  </si>
  <si>
    <t>HOWARD</t>
  </si>
  <si>
    <t>carol5@adventure-works.com</t>
  </si>
  <si>
    <t>jonathan43@adventure-works.com</t>
  </si>
  <si>
    <t>ADAMS</t>
  </si>
  <si>
    <t>gabrielle58@adventure-works.com</t>
  </si>
  <si>
    <t>SARAH</t>
  </si>
  <si>
    <t>sarah13@adventure-works.com</t>
  </si>
  <si>
    <t>NICHOLAS</t>
  </si>
  <si>
    <t>nicholas19@adventure-works.com</t>
  </si>
  <si>
    <t>luis24@adventure-works.com</t>
  </si>
  <si>
    <t>MASON</t>
  </si>
  <si>
    <t>mason25@adventure-works.com</t>
  </si>
  <si>
    <t>JOSE</t>
  </si>
  <si>
    <t>jose6@adventure-works.com</t>
  </si>
  <si>
    <t>nathan55@adventure-works.com</t>
  </si>
  <si>
    <t>Customer Summary</t>
  </si>
  <si>
    <t>Total Customers</t>
  </si>
  <si>
    <t>Single</t>
  </si>
  <si>
    <t>Female</t>
  </si>
  <si>
    <t>Total Annual Income</t>
  </si>
  <si>
    <t>Average Annual Income</t>
  </si>
  <si>
    <t>Rich</t>
  </si>
  <si>
    <t>Male Bachelors</t>
  </si>
  <si>
    <t>Professional (90000)</t>
  </si>
  <si>
    <t>Row Labels</t>
  </si>
  <si>
    <t>Average</t>
  </si>
  <si>
    <t>Poor</t>
  </si>
  <si>
    <t>Wealthy</t>
  </si>
  <si>
    <t>(blank)</t>
  </si>
  <si>
    <t>Grand Total</t>
  </si>
  <si>
    <t>Column Labels</t>
  </si>
  <si>
    <t>Count of Wealth Category</t>
  </si>
  <si>
    <t>How many customers fall into each wealth category (Rich, Average, Poor), grouped by their marital status (Single, Married)?</t>
  </si>
  <si>
    <t>Male</t>
  </si>
  <si>
    <t>Count of HomeOwner</t>
  </si>
  <si>
    <t>How many male vs. female customers own a home versus those who don’t?</t>
  </si>
  <si>
    <t>Count of Occupation</t>
  </si>
  <si>
    <t>Total Count of Occupation</t>
  </si>
  <si>
    <t>Total Sum of AnnualIncome</t>
  </si>
  <si>
    <t>Sum of AnnualIncome</t>
  </si>
  <si>
    <t>Which occupations contribute the highest total annual income?</t>
  </si>
  <si>
    <t>What is the average number of children per customer, grouped by wealth category?</t>
  </si>
  <si>
    <t>1934</t>
  </si>
  <si>
    <t>1935</t>
  </si>
  <si>
    <t>1936</t>
  </si>
  <si>
    <t>1937</t>
  </si>
  <si>
    <t>1938</t>
  </si>
  <si>
    <t>1939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</si>
  <si>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</si>
  <si>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</si>
  <si>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</si>
  <si>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</si>
  <si>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</si>
  <si>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</si>
  <si>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</si>
  <si>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</si>
  <si>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</si>
  <si>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</si>
  <si>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</si>
  <si>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</si>
  <si>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</si>
  <si>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</si>
  <si>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</si>
  <si>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</si>
  <si>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</si>
  <si>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</si>
  <si>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</si>
  <si>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</si>
  <si>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</si>
  <si>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</si>
  <si>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</si>
  <si>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</si>
  <si>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</si>
  <si>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</si>
  <si>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</si>
  <si>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</si>
  <si>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</si>
  <si>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</si>
  <si>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</si>
  <si>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</si>
  <si>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</si>
  <si>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</si>
  <si>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</si>
  <si>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</si>
  <si>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</si>
  <si>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</si>
  <si>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Count of BirthDate</t>
  </si>
  <si>
    <t>Age Group by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</si>
</sst>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]dd/mm/yyyy"/>
    <numFmt numFmtId="166" formatCode="&quot;$&quot;#,##0.0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385623"/>
        <bgColor rgb="FF38562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/>
    <xf numFmtId="164" fontId="3" fillId="0" borderId="0" xfId="0" applyNumberFormat="1" applyFont="1"/>
    <xf numFmtId="165" fontId="3" fillId="0" borderId="0" xfId="0" applyNumberFormat="1" applyFont="1"/>
    <xf numFmtId="166" fontId="4" fillId="2" borderId="1" xfId="0" applyNumberFormat="1" applyFont="1" applyFill="1" applyBorder="1"/>
    <xf numFmtId="14" fontId="3" fillId="0" borderId="0" xfId="0" applyNumberFormat="1" applyFont="1"/>
    <xf numFmtId="0" fontId="5" fillId="0" borderId="0" xfId="0" applyFont="1"/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8" fillId="0" borderId="0" xfId="0" applyFont="1"/>
    <xf numFmtId="0" fontId="9" fillId="7" borderId="0" xfId="0" applyFont="1" applyFill="1"/>
    <xf numFmtId="0" fontId="0" fillId="7" borderId="0" xfId="0" applyFill="1"/>
    <xf numFmtId="0" fontId="6" fillId="3" borderId="2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4">
    <dxf>
      <fill>
        <patternFill>
          <bgColor theme="9" tint="0.39997558519241921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[CustomerRetention_project_Akehinmi_Victor.xlsx]Sheet1!PivotTable1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856130097139919E-2"/>
          <c:y val="4.2088273448577546E-2"/>
          <c:w val="0.75735151662743183"/>
          <c:h val="0.737944308685552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Average</c:v>
                </c:pt>
                <c:pt idx="1">
                  <c:v>Poor</c:v>
                </c:pt>
                <c:pt idx="2">
                  <c:v>Rich</c:v>
                </c:pt>
                <c:pt idx="3">
                  <c:v>Wealthy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4"/>
                <c:pt idx="0">
                  <c:v>73</c:v>
                </c:pt>
                <c:pt idx="1">
                  <c:v>74</c:v>
                </c:pt>
                <c:pt idx="2">
                  <c:v>13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1-8A48-8370-C7B9027C2717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Average</c:v>
                </c:pt>
                <c:pt idx="1">
                  <c:v>Poor</c:v>
                </c:pt>
                <c:pt idx="2">
                  <c:v>Rich</c:v>
                </c:pt>
                <c:pt idx="3">
                  <c:v>Wealthy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4"/>
                <c:pt idx="0">
                  <c:v>83</c:v>
                </c:pt>
                <c:pt idx="1">
                  <c:v>67</c:v>
                </c:pt>
                <c:pt idx="2">
                  <c:v>15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91-8A48-8370-C7B9027C2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9519408"/>
        <c:axId val="549517248"/>
      </c:barChart>
      <c:catAx>
        <c:axId val="54951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549517248"/>
        <c:crosses val="autoZero"/>
        <c:auto val="1"/>
        <c:lblAlgn val="ctr"/>
        <c:lblOffset val="100"/>
        <c:noMultiLvlLbl val="0"/>
      </c:catAx>
      <c:valAx>
        <c:axId val="54951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54951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[CustomerRetention_project_Akehinmi_Victor.xlsx]Sheet1!PivotTable2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Sheet1!$B$14:$B$15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Sheet1!$A$16:$A$19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Sheet1!$B$16:$B$19</c:f>
              <c:numCache>
                <c:formatCode>General</c:formatCode>
                <c:ptCount val="3"/>
                <c:pt idx="0">
                  <c:v>67</c:v>
                </c:pt>
                <c:pt idx="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A-714D-83E1-0A238B62B5D4}"/>
            </c:ext>
          </c:extLst>
        </c:ser>
        <c:ser>
          <c:idx val="1"/>
          <c:order val="1"/>
          <c:tx>
            <c:strRef>
              <c:f>Sheet1!$C$14:$C$15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Sheet1!$A$16:$A$19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Sheet1!$C$16:$C$19</c:f>
              <c:numCache>
                <c:formatCode>General</c:formatCode>
                <c:ptCount val="3"/>
                <c:pt idx="0">
                  <c:v>93</c:v>
                </c:pt>
                <c:pt idx="1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4A-714D-83E1-0A238B62B5D4}"/>
            </c:ext>
          </c:extLst>
        </c:ser>
        <c:ser>
          <c:idx val="2"/>
          <c:order val="2"/>
          <c:tx>
            <c:strRef>
              <c:f>Sheet1!$D$14:$D$15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Sheet1!$A$16:$A$19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Sheet1!$D$16:$D$19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504A-714D-83E1-0A238B62B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6138080"/>
        <c:axId val="549573744"/>
      </c:barChart>
      <c:catAx>
        <c:axId val="64613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549573744"/>
        <c:crosses val="autoZero"/>
        <c:auto val="1"/>
        <c:lblAlgn val="ctr"/>
        <c:lblOffset val="100"/>
        <c:noMultiLvlLbl val="0"/>
      </c:catAx>
      <c:valAx>
        <c:axId val="54957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64613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003108928727086"/>
          <c:y val="0.15581994031567969"/>
          <c:w val="0.15782868931051516"/>
          <c:h val="0.469181318088663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[CustomerRetention_project_Akehinmi_Victor.xlsx]Sheet1!PivotTable3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Sheet1!$B$24:$B$26</c:f>
              <c:strCache>
                <c:ptCount val="1"/>
                <c:pt idx="0">
                  <c:v>Clerical - Count of Occupation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Sheet1!$A$27:$A$42</c:f>
              <c:strCach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160000</c:v>
                </c:pt>
                <c:pt idx="14">
                  <c:v>170000</c:v>
                </c:pt>
              </c:strCache>
            </c:strRef>
          </c:cat>
          <c:val>
            <c:numRef>
              <c:f>Sheet1!$B$27:$B$42</c:f>
              <c:numCache>
                <c:formatCode>General</c:formatCode>
                <c:ptCount val="15"/>
                <c:pt idx="0">
                  <c:v>7</c:v>
                </c:pt>
                <c:pt idx="1">
                  <c:v>2</c:v>
                </c:pt>
                <c:pt idx="2">
                  <c:v>18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A-514A-A029-1654C656E894}"/>
            </c:ext>
          </c:extLst>
        </c:ser>
        <c:ser>
          <c:idx val="1"/>
          <c:order val="1"/>
          <c:tx>
            <c:strRef>
              <c:f>Sheet1!$C$24:$C$26</c:f>
              <c:strCache>
                <c:ptCount val="1"/>
                <c:pt idx="0">
                  <c:v>Clerical - Sum of AnnualIncome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Sheet1!$A$27:$A$42</c:f>
              <c:strCach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160000</c:v>
                </c:pt>
                <c:pt idx="14">
                  <c:v>170000</c:v>
                </c:pt>
              </c:strCache>
            </c:strRef>
          </c:cat>
          <c:val>
            <c:numRef>
              <c:f>Sheet1!$C$27:$C$42</c:f>
              <c:numCache>
                <c:formatCode>General</c:formatCode>
                <c:ptCount val="15"/>
                <c:pt idx="0">
                  <c:v>70000</c:v>
                </c:pt>
                <c:pt idx="1">
                  <c:v>40000</c:v>
                </c:pt>
                <c:pt idx="2">
                  <c:v>540000</c:v>
                </c:pt>
                <c:pt idx="3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A-514A-A029-1654C656E894}"/>
            </c:ext>
          </c:extLst>
        </c:ser>
        <c:ser>
          <c:idx val="2"/>
          <c:order val="2"/>
          <c:tx>
            <c:strRef>
              <c:f>Sheet1!$D$24:$D$26</c:f>
              <c:strCache>
                <c:ptCount val="1"/>
                <c:pt idx="0">
                  <c:v>Management - Count of Occupation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Sheet1!$A$27:$A$42</c:f>
              <c:strCach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160000</c:v>
                </c:pt>
                <c:pt idx="14">
                  <c:v>170000</c:v>
                </c:pt>
              </c:strCache>
            </c:strRef>
          </c:cat>
          <c:val>
            <c:numRef>
              <c:f>Sheet1!$D$27:$D$42</c:f>
              <c:numCache>
                <c:formatCode>General</c:formatCode>
                <c:ptCount val="15"/>
                <c:pt idx="3">
                  <c:v>6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8</c:v>
                </c:pt>
                <c:pt idx="8">
                  <c:v>3</c:v>
                </c:pt>
                <c:pt idx="9">
                  <c:v>9</c:v>
                </c:pt>
                <c:pt idx="10">
                  <c:v>7</c:v>
                </c:pt>
                <c:pt idx="11">
                  <c:v>2</c:v>
                </c:pt>
                <c:pt idx="12">
                  <c:v>7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CA-514A-A029-1654C656E894}"/>
            </c:ext>
          </c:extLst>
        </c:ser>
        <c:ser>
          <c:idx val="3"/>
          <c:order val="3"/>
          <c:tx>
            <c:strRef>
              <c:f>Sheet1!$E$24:$E$26</c:f>
              <c:strCache>
                <c:ptCount val="1"/>
                <c:pt idx="0">
                  <c:v>Management - Sum of AnnualIncome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Sheet1!$A$27:$A$42</c:f>
              <c:strCach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160000</c:v>
                </c:pt>
                <c:pt idx="14">
                  <c:v>170000</c:v>
                </c:pt>
              </c:strCache>
            </c:strRef>
          </c:cat>
          <c:val>
            <c:numRef>
              <c:f>Sheet1!$E$27:$E$42</c:f>
              <c:numCache>
                <c:formatCode>General</c:formatCode>
                <c:ptCount val="15"/>
                <c:pt idx="3">
                  <c:v>240000</c:v>
                </c:pt>
                <c:pt idx="4">
                  <c:v>50000</c:v>
                </c:pt>
                <c:pt idx="5">
                  <c:v>120000</c:v>
                </c:pt>
                <c:pt idx="6">
                  <c:v>70000</c:v>
                </c:pt>
                <c:pt idx="7">
                  <c:v>640000</c:v>
                </c:pt>
                <c:pt idx="8">
                  <c:v>270000</c:v>
                </c:pt>
                <c:pt idx="9">
                  <c:v>900000</c:v>
                </c:pt>
                <c:pt idx="10">
                  <c:v>770000</c:v>
                </c:pt>
                <c:pt idx="11">
                  <c:v>240000</c:v>
                </c:pt>
                <c:pt idx="12">
                  <c:v>910000</c:v>
                </c:pt>
                <c:pt idx="13">
                  <c:v>160000</c:v>
                </c:pt>
                <c:pt idx="14">
                  <c:v>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CA-514A-A029-1654C656E894}"/>
            </c:ext>
          </c:extLst>
        </c:ser>
        <c:ser>
          <c:idx val="4"/>
          <c:order val="4"/>
          <c:tx>
            <c:strRef>
              <c:f>Sheet1!$F$24:$F$26</c:f>
              <c:strCache>
                <c:ptCount val="1"/>
                <c:pt idx="0">
                  <c:v>Professional - Count of Occupation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Sheet1!$A$27:$A$42</c:f>
              <c:strCach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160000</c:v>
                </c:pt>
                <c:pt idx="14">
                  <c:v>170000</c:v>
                </c:pt>
              </c:strCache>
            </c:strRef>
          </c:cat>
          <c:val>
            <c:numRef>
              <c:f>Sheet1!$F$27:$F$42</c:f>
              <c:numCache>
                <c:formatCode>General</c:formatCode>
                <c:ptCount val="15"/>
                <c:pt idx="2">
                  <c:v>1</c:v>
                </c:pt>
                <c:pt idx="3">
                  <c:v>1</c:v>
                </c:pt>
                <c:pt idx="5">
                  <c:v>29</c:v>
                </c:pt>
                <c:pt idx="6">
                  <c:v>30</c:v>
                </c:pt>
                <c:pt idx="7">
                  <c:v>11</c:v>
                </c:pt>
                <c:pt idx="8">
                  <c:v>11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CA-514A-A029-1654C656E894}"/>
            </c:ext>
          </c:extLst>
        </c:ser>
        <c:ser>
          <c:idx val="5"/>
          <c:order val="5"/>
          <c:tx>
            <c:strRef>
              <c:f>Sheet1!$G$24:$G$26</c:f>
              <c:strCache>
                <c:ptCount val="1"/>
                <c:pt idx="0">
                  <c:v>Professional - Sum of AnnualIncome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Sheet1!$A$27:$A$42</c:f>
              <c:strCach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160000</c:v>
                </c:pt>
                <c:pt idx="14">
                  <c:v>170000</c:v>
                </c:pt>
              </c:strCache>
            </c:strRef>
          </c:cat>
          <c:val>
            <c:numRef>
              <c:f>Sheet1!$G$27:$G$42</c:f>
              <c:numCache>
                <c:formatCode>General</c:formatCode>
                <c:ptCount val="15"/>
                <c:pt idx="2">
                  <c:v>30000</c:v>
                </c:pt>
                <c:pt idx="3">
                  <c:v>40000</c:v>
                </c:pt>
                <c:pt idx="5">
                  <c:v>1740000</c:v>
                </c:pt>
                <c:pt idx="6">
                  <c:v>2100000</c:v>
                </c:pt>
                <c:pt idx="7">
                  <c:v>880000</c:v>
                </c:pt>
                <c:pt idx="8">
                  <c:v>990000</c:v>
                </c:pt>
                <c:pt idx="9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CA-514A-A029-1654C656E894}"/>
            </c:ext>
          </c:extLst>
        </c:ser>
        <c:ser>
          <c:idx val="6"/>
          <c:order val="6"/>
          <c:tx>
            <c:strRef>
              <c:f>Sheet1!$H$24:$H$26</c:f>
              <c:strCache>
                <c:ptCount val="1"/>
                <c:pt idx="0">
                  <c:v>Skilled Manual - Count of Occupation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Sheet1!$A$27:$A$42</c:f>
              <c:strCach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160000</c:v>
                </c:pt>
                <c:pt idx="14">
                  <c:v>170000</c:v>
                </c:pt>
              </c:strCache>
            </c:strRef>
          </c:cat>
          <c:val>
            <c:numRef>
              <c:f>Sheet1!$H$27:$H$42</c:f>
              <c:numCache>
                <c:formatCode>General</c:formatCode>
                <c:ptCount val="15"/>
                <c:pt idx="0">
                  <c:v>4</c:v>
                </c:pt>
                <c:pt idx="1">
                  <c:v>7</c:v>
                </c:pt>
                <c:pt idx="2">
                  <c:v>37</c:v>
                </c:pt>
                <c:pt idx="3">
                  <c:v>53</c:v>
                </c:pt>
                <c:pt idx="5">
                  <c:v>22</c:v>
                </c:pt>
                <c:pt idx="6">
                  <c:v>21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CA-514A-A029-1654C656E894}"/>
            </c:ext>
          </c:extLst>
        </c:ser>
        <c:ser>
          <c:idx val="7"/>
          <c:order val="7"/>
          <c:tx>
            <c:strRef>
              <c:f>Sheet1!$I$24:$I$26</c:f>
              <c:strCache>
                <c:ptCount val="1"/>
                <c:pt idx="0">
                  <c:v>Skilled Manual - Sum of AnnualIncome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Sheet1!$A$27:$A$42</c:f>
              <c:strCach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160000</c:v>
                </c:pt>
                <c:pt idx="14">
                  <c:v>170000</c:v>
                </c:pt>
              </c:strCache>
            </c:strRef>
          </c:cat>
          <c:val>
            <c:numRef>
              <c:f>Sheet1!$I$27:$I$42</c:f>
              <c:numCache>
                <c:formatCode>General</c:formatCode>
                <c:ptCount val="15"/>
                <c:pt idx="0">
                  <c:v>40000</c:v>
                </c:pt>
                <c:pt idx="1">
                  <c:v>140000</c:v>
                </c:pt>
                <c:pt idx="2">
                  <c:v>1110000</c:v>
                </c:pt>
                <c:pt idx="3">
                  <c:v>2120000</c:v>
                </c:pt>
                <c:pt idx="5">
                  <c:v>1320000</c:v>
                </c:pt>
                <c:pt idx="6">
                  <c:v>1470000</c:v>
                </c:pt>
                <c:pt idx="7">
                  <c:v>1360000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CA-514A-A029-1654C656E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622800"/>
        <c:axId val="689885936"/>
      </c:barChart>
      <c:catAx>
        <c:axId val="54162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689885936"/>
        <c:crosses val="autoZero"/>
        <c:auto val="1"/>
        <c:lblAlgn val="ctr"/>
        <c:lblOffset val="100"/>
        <c:noMultiLvlLbl val="0"/>
      </c:catAx>
      <c:valAx>
        <c:axId val="68988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54162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[CustomerRetention_project_Akehinmi_Victor.xlsx]Sheet1!PivotTable6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Sheet1!$B$57:$B$58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Sheet1!$A$59:$A$103</c:f>
              <c:strCache>
                <c:ptCount val="44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  <c:pt idx="6">
                  <c:v>1941</c:v>
                </c:pt>
                <c:pt idx="7">
                  <c:v>1942</c:v>
                </c:pt>
                <c:pt idx="8">
                  <c:v>1943</c:v>
                </c:pt>
                <c:pt idx="9">
                  <c:v>1944</c:v>
                </c:pt>
                <c:pt idx="10">
                  <c:v>1945</c:v>
                </c:pt>
                <c:pt idx="11">
                  <c:v>1946</c:v>
                </c:pt>
                <c:pt idx="12">
                  <c:v>1947</c:v>
                </c:pt>
                <c:pt idx="13">
                  <c:v>1948</c:v>
                </c:pt>
                <c:pt idx="14">
                  <c:v>1949</c:v>
                </c:pt>
                <c:pt idx="15">
                  <c:v>1950</c:v>
                </c:pt>
                <c:pt idx="16">
                  <c:v>1951</c:v>
                </c:pt>
                <c:pt idx="17">
                  <c:v>1952</c:v>
                </c:pt>
                <c:pt idx="18">
                  <c:v>1953</c:v>
                </c:pt>
                <c:pt idx="19">
                  <c:v>1954</c:v>
                </c:pt>
                <c:pt idx="20">
                  <c:v>1955</c:v>
                </c:pt>
                <c:pt idx="21">
                  <c:v>1956</c:v>
                </c:pt>
                <c:pt idx="22">
                  <c:v>1957</c:v>
                </c:pt>
                <c:pt idx="23">
                  <c:v>1958</c:v>
                </c:pt>
                <c:pt idx="24">
                  <c:v>1959</c:v>
                </c:pt>
                <c:pt idx="25">
                  <c:v>1960</c:v>
                </c:pt>
                <c:pt idx="26">
                  <c:v>1961</c:v>
                </c:pt>
                <c:pt idx="27">
                  <c:v>1962</c:v>
                </c:pt>
                <c:pt idx="28">
                  <c:v>1963</c:v>
                </c:pt>
                <c:pt idx="29">
                  <c:v>1964</c:v>
                </c:pt>
                <c:pt idx="30">
                  <c:v>1965</c:v>
                </c:pt>
                <c:pt idx="31">
                  <c:v>1966</c:v>
                </c:pt>
                <c:pt idx="32">
                  <c:v>1967</c:v>
                </c:pt>
                <c:pt idx="33">
                  <c:v>1968</c:v>
                </c:pt>
                <c:pt idx="34">
                  <c:v>1969</c:v>
                </c:pt>
                <c:pt idx="35">
                  <c:v>1972</c:v>
                </c:pt>
                <c:pt idx="36">
                  <c:v>1973</c:v>
                </c:pt>
                <c:pt idx="37">
                  <c:v>1974</c:v>
                </c:pt>
                <c:pt idx="38">
                  <c:v>1975</c:v>
                </c:pt>
                <c:pt idx="39">
                  <c:v>1976</c:v>
                </c:pt>
                <c:pt idx="40">
                  <c:v>1977</c:v>
                </c:pt>
                <c:pt idx="41">
                  <c:v>1978</c:v>
                </c:pt>
                <c:pt idx="42">
                  <c:v>1979</c:v>
                </c:pt>
                <c:pt idx="43">
                  <c:v>1980</c:v>
                </c:pt>
              </c:strCache>
            </c:strRef>
          </c:cat>
          <c:val>
            <c:numRef>
              <c:f>Sheet1!$B$59:$B$103</c:f>
              <c:numCache>
                <c:formatCode>General</c:formatCode>
                <c:ptCount val="44"/>
                <c:pt idx="0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5</c:v>
                </c:pt>
                <c:pt idx="13">
                  <c:v>3</c:v>
                </c:pt>
                <c:pt idx="14">
                  <c:v>1</c:v>
                </c:pt>
                <c:pt idx="15">
                  <c:v>4</c:v>
                </c:pt>
                <c:pt idx="16">
                  <c:v>2</c:v>
                </c:pt>
                <c:pt idx="17">
                  <c:v>5</c:v>
                </c:pt>
                <c:pt idx="18">
                  <c:v>2</c:v>
                </c:pt>
                <c:pt idx="19">
                  <c:v>1</c:v>
                </c:pt>
                <c:pt idx="20">
                  <c:v>4</c:v>
                </c:pt>
                <c:pt idx="21">
                  <c:v>4</c:v>
                </c:pt>
                <c:pt idx="22">
                  <c:v>9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7</c:v>
                </c:pt>
                <c:pt idx="28">
                  <c:v>1</c:v>
                </c:pt>
                <c:pt idx="29">
                  <c:v>8</c:v>
                </c:pt>
                <c:pt idx="30">
                  <c:v>10</c:v>
                </c:pt>
                <c:pt idx="31">
                  <c:v>7</c:v>
                </c:pt>
                <c:pt idx="32">
                  <c:v>5</c:v>
                </c:pt>
                <c:pt idx="33">
                  <c:v>6</c:v>
                </c:pt>
                <c:pt idx="35">
                  <c:v>2</c:v>
                </c:pt>
                <c:pt idx="36">
                  <c:v>6</c:v>
                </c:pt>
                <c:pt idx="37">
                  <c:v>7</c:v>
                </c:pt>
                <c:pt idx="38">
                  <c:v>9</c:v>
                </c:pt>
                <c:pt idx="39">
                  <c:v>7</c:v>
                </c:pt>
                <c:pt idx="40">
                  <c:v>6</c:v>
                </c:pt>
                <c:pt idx="41">
                  <c:v>6</c:v>
                </c:pt>
                <c:pt idx="42">
                  <c:v>3</c:v>
                </c:pt>
                <c:pt idx="4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3-A34C-BC42-B11A597340F0}"/>
            </c:ext>
          </c:extLst>
        </c:ser>
        <c:ser>
          <c:idx val="1"/>
          <c:order val="1"/>
          <c:tx>
            <c:strRef>
              <c:f>Sheet1!$C$57:$C$58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Sheet1!$A$59:$A$103</c:f>
              <c:strCache>
                <c:ptCount val="44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  <c:pt idx="6">
                  <c:v>1941</c:v>
                </c:pt>
                <c:pt idx="7">
                  <c:v>1942</c:v>
                </c:pt>
                <c:pt idx="8">
                  <c:v>1943</c:v>
                </c:pt>
                <c:pt idx="9">
                  <c:v>1944</c:v>
                </c:pt>
                <c:pt idx="10">
                  <c:v>1945</c:v>
                </c:pt>
                <c:pt idx="11">
                  <c:v>1946</c:v>
                </c:pt>
                <c:pt idx="12">
                  <c:v>1947</c:v>
                </c:pt>
                <c:pt idx="13">
                  <c:v>1948</c:v>
                </c:pt>
                <c:pt idx="14">
                  <c:v>1949</c:v>
                </c:pt>
                <c:pt idx="15">
                  <c:v>1950</c:v>
                </c:pt>
                <c:pt idx="16">
                  <c:v>1951</c:v>
                </c:pt>
                <c:pt idx="17">
                  <c:v>1952</c:v>
                </c:pt>
                <c:pt idx="18">
                  <c:v>1953</c:v>
                </c:pt>
                <c:pt idx="19">
                  <c:v>1954</c:v>
                </c:pt>
                <c:pt idx="20">
                  <c:v>1955</c:v>
                </c:pt>
                <c:pt idx="21">
                  <c:v>1956</c:v>
                </c:pt>
                <c:pt idx="22">
                  <c:v>1957</c:v>
                </c:pt>
                <c:pt idx="23">
                  <c:v>1958</c:v>
                </c:pt>
                <c:pt idx="24">
                  <c:v>1959</c:v>
                </c:pt>
                <c:pt idx="25">
                  <c:v>1960</c:v>
                </c:pt>
                <c:pt idx="26">
                  <c:v>1961</c:v>
                </c:pt>
                <c:pt idx="27">
                  <c:v>1962</c:v>
                </c:pt>
                <c:pt idx="28">
                  <c:v>1963</c:v>
                </c:pt>
                <c:pt idx="29">
                  <c:v>1964</c:v>
                </c:pt>
                <c:pt idx="30">
                  <c:v>1965</c:v>
                </c:pt>
                <c:pt idx="31">
                  <c:v>1966</c:v>
                </c:pt>
                <c:pt idx="32">
                  <c:v>1967</c:v>
                </c:pt>
                <c:pt idx="33">
                  <c:v>1968</c:v>
                </c:pt>
                <c:pt idx="34">
                  <c:v>1969</c:v>
                </c:pt>
                <c:pt idx="35">
                  <c:v>1972</c:v>
                </c:pt>
                <c:pt idx="36">
                  <c:v>1973</c:v>
                </c:pt>
                <c:pt idx="37">
                  <c:v>1974</c:v>
                </c:pt>
                <c:pt idx="38">
                  <c:v>1975</c:v>
                </c:pt>
                <c:pt idx="39">
                  <c:v>1976</c:v>
                </c:pt>
                <c:pt idx="40">
                  <c:v>1977</c:v>
                </c:pt>
                <c:pt idx="41">
                  <c:v>1978</c:v>
                </c:pt>
                <c:pt idx="42">
                  <c:v>1979</c:v>
                </c:pt>
                <c:pt idx="43">
                  <c:v>1980</c:v>
                </c:pt>
              </c:strCache>
            </c:strRef>
          </c:cat>
          <c:val>
            <c:numRef>
              <c:f>Sheet1!$C$59:$C$103</c:f>
              <c:numCache>
                <c:formatCode>General</c:formatCode>
                <c:ptCount val="44"/>
                <c:pt idx="1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  <c:pt idx="12">
                  <c:v>4</c:v>
                </c:pt>
                <c:pt idx="13">
                  <c:v>1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17</c:v>
                </c:pt>
                <c:pt idx="23">
                  <c:v>1</c:v>
                </c:pt>
                <c:pt idx="24">
                  <c:v>6</c:v>
                </c:pt>
                <c:pt idx="25">
                  <c:v>3</c:v>
                </c:pt>
                <c:pt idx="26">
                  <c:v>2</c:v>
                </c:pt>
                <c:pt idx="27">
                  <c:v>8</c:v>
                </c:pt>
                <c:pt idx="28">
                  <c:v>5</c:v>
                </c:pt>
                <c:pt idx="29">
                  <c:v>8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6</c:v>
                </c:pt>
                <c:pt idx="34">
                  <c:v>1</c:v>
                </c:pt>
                <c:pt idx="36">
                  <c:v>1</c:v>
                </c:pt>
                <c:pt idx="37">
                  <c:v>13</c:v>
                </c:pt>
                <c:pt idx="38">
                  <c:v>11</c:v>
                </c:pt>
                <c:pt idx="39">
                  <c:v>6</c:v>
                </c:pt>
                <c:pt idx="40">
                  <c:v>8</c:v>
                </c:pt>
                <c:pt idx="41">
                  <c:v>6</c:v>
                </c:pt>
                <c:pt idx="42">
                  <c:v>5</c:v>
                </c:pt>
                <c:pt idx="4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E3-A34C-BC42-B11A59734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032576"/>
        <c:axId val="661677136"/>
      </c:barChart>
      <c:catAx>
        <c:axId val="66603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661677136"/>
        <c:crosses val="autoZero"/>
        <c:auto val="1"/>
        <c:lblAlgn val="ctr"/>
        <c:lblOffset val="100"/>
        <c:noMultiLvlLbl val="0"/>
      </c:catAx>
      <c:valAx>
        <c:axId val="66167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66603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[CustomerRetention_project_Akehinmi_Victor.xlsx]Sheet1!PivotTable1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Sheet1!$B$3:$B$4</c:f>
              <c:strCache>
                <c:ptCount val="1"/>
                <c:pt idx="0">
                  <c:v>M</c:v>
                </c:pt>
              </c:strCache>
            </c:strRef>
          </c:tx>
          <c:spPr>
            <a:effectLst>
              <a:glow>
                <a:schemeClr val="accent1">
                  <a:alpha val="40000"/>
                </a:schemeClr>
              </a:glow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71F5-1146-8893-6F3E4966F3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71F5-1146-8893-6F3E4966F3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5-71F5-1146-8893-6F3E4966F3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7-71F5-1146-8893-6F3E4966F3C1}"/>
              </c:ext>
            </c:extLst>
          </c:dPt>
          <c:cat>
            <c:strRef>
              <c:f>Sheet1!$A$5:$A$9</c:f>
              <c:strCache>
                <c:ptCount val="4"/>
                <c:pt idx="0">
                  <c:v>Average</c:v>
                </c:pt>
                <c:pt idx="1">
                  <c:v>Poor</c:v>
                </c:pt>
                <c:pt idx="2">
                  <c:v>Rich</c:v>
                </c:pt>
                <c:pt idx="3">
                  <c:v>Wealthy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4"/>
                <c:pt idx="0">
                  <c:v>73</c:v>
                </c:pt>
                <c:pt idx="1">
                  <c:v>74</c:v>
                </c:pt>
                <c:pt idx="2">
                  <c:v>13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5-7444-89A6-47FEED8FE631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F5-1146-8893-6F3E4966F3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1F5-1146-8893-6F3E4966F3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1F5-1146-8893-6F3E4966F3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1F5-1146-8893-6F3E4966F3C1}"/>
              </c:ext>
            </c:extLst>
          </c:dPt>
          <c:cat>
            <c:strRef>
              <c:f>Sheet1!$A$5:$A$9</c:f>
              <c:strCache>
                <c:ptCount val="4"/>
                <c:pt idx="0">
                  <c:v>Average</c:v>
                </c:pt>
                <c:pt idx="1">
                  <c:v>Poor</c:v>
                </c:pt>
                <c:pt idx="2">
                  <c:v>Rich</c:v>
                </c:pt>
                <c:pt idx="3">
                  <c:v>Wealthy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4"/>
                <c:pt idx="0">
                  <c:v>83</c:v>
                </c:pt>
                <c:pt idx="1">
                  <c:v>67</c:v>
                </c:pt>
                <c:pt idx="2">
                  <c:v>15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5-7444-89A6-47FEED8FE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[CustomerRetention_project_Akehinmi_Victor.xlsx]Sheet1!PivotTable6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Sheet1!$B$57:$B$58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Sheet1!$A$59:$A$103</c:f>
              <c:strCache>
                <c:ptCount val="44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  <c:pt idx="6">
                  <c:v>1941</c:v>
                </c:pt>
                <c:pt idx="7">
                  <c:v>1942</c:v>
                </c:pt>
                <c:pt idx="8">
                  <c:v>1943</c:v>
                </c:pt>
                <c:pt idx="9">
                  <c:v>1944</c:v>
                </c:pt>
                <c:pt idx="10">
                  <c:v>1945</c:v>
                </c:pt>
                <c:pt idx="11">
                  <c:v>1946</c:v>
                </c:pt>
                <c:pt idx="12">
                  <c:v>1947</c:v>
                </c:pt>
                <c:pt idx="13">
                  <c:v>1948</c:v>
                </c:pt>
                <c:pt idx="14">
                  <c:v>1949</c:v>
                </c:pt>
                <c:pt idx="15">
                  <c:v>1950</c:v>
                </c:pt>
                <c:pt idx="16">
                  <c:v>1951</c:v>
                </c:pt>
                <c:pt idx="17">
                  <c:v>1952</c:v>
                </c:pt>
                <c:pt idx="18">
                  <c:v>1953</c:v>
                </c:pt>
                <c:pt idx="19">
                  <c:v>1954</c:v>
                </c:pt>
                <c:pt idx="20">
                  <c:v>1955</c:v>
                </c:pt>
                <c:pt idx="21">
                  <c:v>1956</c:v>
                </c:pt>
                <c:pt idx="22">
                  <c:v>1957</c:v>
                </c:pt>
                <c:pt idx="23">
                  <c:v>1958</c:v>
                </c:pt>
                <c:pt idx="24">
                  <c:v>1959</c:v>
                </c:pt>
                <c:pt idx="25">
                  <c:v>1960</c:v>
                </c:pt>
                <c:pt idx="26">
                  <c:v>1961</c:v>
                </c:pt>
                <c:pt idx="27">
                  <c:v>1962</c:v>
                </c:pt>
                <c:pt idx="28">
                  <c:v>1963</c:v>
                </c:pt>
                <c:pt idx="29">
                  <c:v>1964</c:v>
                </c:pt>
                <c:pt idx="30">
                  <c:v>1965</c:v>
                </c:pt>
                <c:pt idx="31">
                  <c:v>1966</c:v>
                </c:pt>
                <c:pt idx="32">
                  <c:v>1967</c:v>
                </c:pt>
                <c:pt idx="33">
                  <c:v>1968</c:v>
                </c:pt>
                <c:pt idx="34">
                  <c:v>1969</c:v>
                </c:pt>
                <c:pt idx="35">
                  <c:v>1972</c:v>
                </c:pt>
                <c:pt idx="36">
                  <c:v>1973</c:v>
                </c:pt>
                <c:pt idx="37">
                  <c:v>1974</c:v>
                </c:pt>
                <c:pt idx="38">
                  <c:v>1975</c:v>
                </c:pt>
                <c:pt idx="39">
                  <c:v>1976</c:v>
                </c:pt>
                <c:pt idx="40">
                  <c:v>1977</c:v>
                </c:pt>
                <c:pt idx="41">
                  <c:v>1978</c:v>
                </c:pt>
                <c:pt idx="42">
                  <c:v>1979</c:v>
                </c:pt>
                <c:pt idx="43">
                  <c:v>1980</c:v>
                </c:pt>
              </c:strCache>
            </c:strRef>
          </c:cat>
          <c:val>
            <c:numRef>
              <c:f>Sheet1!$B$59:$B$103</c:f>
              <c:numCache>
                <c:formatCode>General</c:formatCode>
                <c:ptCount val="44"/>
                <c:pt idx="0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5</c:v>
                </c:pt>
                <c:pt idx="13">
                  <c:v>3</c:v>
                </c:pt>
                <c:pt idx="14">
                  <c:v>1</c:v>
                </c:pt>
                <c:pt idx="15">
                  <c:v>4</c:v>
                </c:pt>
                <c:pt idx="16">
                  <c:v>2</c:v>
                </c:pt>
                <c:pt idx="17">
                  <c:v>5</c:v>
                </c:pt>
                <c:pt idx="18">
                  <c:v>2</c:v>
                </c:pt>
                <c:pt idx="19">
                  <c:v>1</c:v>
                </c:pt>
                <c:pt idx="20">
                  <c:v>4</c:v>
                </c:pt>
                <c:pt idx="21">
                  <c:v>4</c:v>
                </c:pt>
                <c:pt idx="22">
                  <c:v>9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7</c:v>
                </c:pt>
                <c:pt idx="28">
                  <c:v>1</c:v>
                </c:pt>
                <c:pt idx="29">
                  <c:v>8</c:v>
                </c:pt>
                <c:pt idx="30">
                  <c:v>10</c:v>
                </c:pt>
                <c:pt idx="31">
                  <c:v>7</c:v>
                </c:pt>
                <c:pt idx="32">
                  <c:v>5</c:v>
                </c:pt>
                <c:pt idx="33">
                  <c:v>6</c:v>
                </c:pt>
                <c:pt idx="35">
                  <c:v>2</c:v>
                </c:pt>
                <c:pt idx="36">
                  <c:v>6</c:v>
                </c:pt>
                <c:pt idx="37">
                  <c:v>7</c:v>
                </c:pt>
                <c:pt idx="38">
                  <c:v>9</c:v>
                </c:pt>
                <c:pt idx="39">
                  <c:v>7</c:v>
                </c:pt>
                <c:pt idx="40">
                  <c:v>6</c:v>
                </c:pt>
                <c:pt idx="41">
                  <c:v>6</c:v>
                </c:pt>
                <c:pt idx="42">
                  <c:v>3</c:v>
                </c:pt>
                <c:pt idx="4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1-5448-9F5D-3ECEFBBA4B9C}"/>
            </c:ext>
          </c:extLst>
        </c:ser>
        <c:ser>
          <c:idx val="1"/>
          <c:order val="1"/>
          <c:tx>
            <c:strRef>
              <c:f>Sheet1!$C$57:$C$58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Sheet1!$A$59:$A$103</c:f>
              <c:strCache>
                <c:ptCount val="44"/>
                <c:pt idx="0">
                  <c:v>1934</c:v>
                </c:pt>
                <c:pt idx="1">
                  <c:v>1935</c:v>
                </c:pt>
                <c:pt idx="2">
                  <c:v>1936</c:v>
                </c:pt>
                <c:pt idx="3">
                  <c:v>1937</c:v>
                </c:pt>
                <c:pt idx="4">
                  <c:v>1938</c:v>
                </c:pt>
                <c:pt idx="5">
                  <c:v>1939</c:v>
                </c:pt>
                <c:pt idx="6">
                  <c:v>1941</c:v>
                </c:pt>
                <c:pt idx="7">
                  <c:v>1942</c:v>
                </c:pt>
                <c:pt idx="8">
                  <c:v>1943</c:v>
                </c:pt>
                <c:pt idx="9">
                  <c:v>1944</c:v>
                </c:pt>
                <c:pt idx="10">
                  <c:v>1945</c:v>
                </c:pt>
                <c:pt idx="11">
                  <c:v>1946</c:v>
                </c:pt>
                <c:pt idx="12">
                  <c:v>1947</c:v>
                </c:pt>
                <c:pt idx="13">
                  <c:v>1948</c:v>
                </c:pt>
                <c:pt idx="14">
                  <c:v>1949</c:v>
                </c:pt>
                <c:pt idx="15">
                  <c:v>1950</c:v>
                </c:pt>
                <c:pt idx="16">
                  <c:v>1951</c:v>
                </c:pt>
                <c:pt idx="17">
                  <c:v>1952</c:v>
                </c:pt>
                <c:pt idx="18">
                  <c:v>1953</c:v>
                </c:pt>
                <c:pt idx="19">
                  <c:v>1954</c:v>
                </c:pt>
                <c:pt idx="20">
                  <c:v>1955</c:v>
                </c:pt>
                <c:pt idx="21">
                  <c:v>1956</c:v>
                </c:pt>
                <c:pt idx="22">
                  <c:v>1957</c:v>
                </c:pt>
                <c:pt idx="23">
                  <c:v>1958</c:v>
                </c:pt>
                <c:pt idx="24">
                  <c:v>1959</c:v>
                </c:pt>
                <c:pt idx="25">
                  <c:v>1960</c:v>
                </c:pt>
                <c:pt idx="26">
                  <c:v>1961</c:v>
                </c:pt>
                <c:pt idx="27">
                  <c:v>1962</c:v>
                </c:pt>
                <c:pt idx="28">
                  <c:v>1963</c:v>
                </c:pt>
                <c:pt idx="29">
                  <c:v>1964</c:v>
                </c:pt>
                <c:pt idx="30">
                  <c:v>1965</c:v>
                </c:pt>
                <c:pt idx="31">
                  <c:v>1966</c:v>
                </c:pt>
                <c:pt idx="32">
                  <c:v>1967</c:v>
                </c:pt>
                <c:pt idx="33">
                  <c:v>1968</c:v>
                </c:pt>
                <c:pt idx="34">
                  <c:v>1969</c:v>
                </c:pt>
                <c:pt idx="35">
                  <c:v>1972</c:v>
                </c:pt>
                <c:pt idx="36">
                  <c:v>1973</c:v>
                </c:pt>
                <c:pt idx="37">
                  <c:v>1974</c:v>
                </c:pt>
                <c:pt idx="38">
                  <c:v>1975</c:v>
                </c:pt>
                <c:pt idx="39">
                  <c:v>1976</c:v>
                </c:pt>
                <c:pt idx="40">
                  <c:v>1977</c:v>
                </c:pt>
                <c:pt idx="41">
                  <c:v>1978</c:v>
                </c:pt>
                <c:pt idx="42">
                  <c:v>1979</c:v>
                </c:pt>
                <c:pt idx="43">
                  <c:v>1980</c:v>
                </c:pt>
              </c:strCache>
            </c:strRef>
          </c:cat>
          <c:val>
            <c:numRef>
              <c:f>Sheet1!$C$59:$C$103</c:f>
              <c:numCache>
                <c:formatCode>General</c:formatCode>
                <c:ptCount val="44"/>
                <c:pt idx="1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  <c:pt idx="12">
                  <c:v>4</c:v>
                </c:pt>
                <c:pt idx="13">
                  <c:v>1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17</c:v>
                </c:pt>
                <c:pt idx="23">
                  <c:v>1</c:v>
                </c:pt>
                <c:pt idx="24">
                  <c:v>6</c:v>
                </c:pt>
                <c:pt idx="25">
                  <c:v>3</c:v>
                </c:pt>
                <c:pt idx="26">
                  <c:v>2</c:v>
                </c:pt>
                <c:pt idx="27">
                  <c:v>8</c:v>
                </c:pt>
                <c:pt idx="28">
                  <c:v>5</c:v>
                </c:pt>
                <c:pt idx="29">
                  <c:v>8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6</c:v>
                </c:pt>
                <c:pt idx="34">
                  <c:v>1</c:v>
                </c:pt>
                <c:pt idx="36">
                  <c:v>1</c:v>
                </c:pt>
                <c:pt idx="37">
                  <c:v>13</c:v>
                </c:pt>
                <c:pt idx="38">
                  <c:v>11</c:v>
                </c:pt>
                <c:pt idx="39">
                  <c:v>6</c:v>
                </c:pt>
                <c:pt idx="40">
                  <c:v>8</c:v>
                </c:pt>
                <c:pt idx="41">
                  <c:v>6</c:v>
                </c:pt>
                <c:pt idx="42">
                  <c:v>5</c:v>
                </c:pt>
                <c:pt idx="4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71-5448-9F5D-3ECEFBBA4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032576"/>
        <c:axId val="661677136"/>
      </c:barChart>
      <c:catAx>
        <c:axId val="66603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661677136"/>
        <c:crosses val="autoZero"/>
        <c:auto val="1"/>
        <c:lblAlgn val="ctr"/>
        <c:lblOffset val="100"/>
        <c:noMultiLvlLbl val="0"/>
      </c:catAx>
      <c:valAx>
        <c:axId val="66167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66603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87423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[CustomerRetention_project_Akehinmi_Victor.xlsx]Sheet1!PivotTable1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856130097139919E-2"/>
          <c:y val="4.2088273448577546E-2"/>
          <c:w val="0.75735151662743183"/>
          <c:h val="0.737944308685552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Average</c:v>
                </c:pt>
                <c:pt idx="1">
                  <c:v>Poor</c:v>
                </c:pt>
                <c:pt idx="2">
                  <c:v>Rich</c:v>
                </c:pt>
                <c:pt idx="3">
                  <c:v>Wealthy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4"/>
                <c:pt idx="0">
                  <c:v>73</c:v>
                </c:pt>
                <c:pt idx="1">
                  <c:v>74</c:v>
                </c:pt>
                <c:pt idx="2">
                  <c:v>13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3-AF44-AF3F-3B1F6CF1897F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Average</c:v>
                </c:pt>
                <c:pt idx="1">
                  <c:v>Poor</c:v>
                </c:pt>
                <c:pt idx="2">
                  <c:v>Rich</c:v>
                </c:pt>
                <c:pt idx="3">
                  <c:v>Wealthy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4"/>
                <c:pt idx="0">
                  <c:v>83</c:v>
                </c:pt>
                <c:pt idx="1">
                  <c:v>67</c:v>
                </c:pt>
                <c:pt idx="2">
                  <c:v>15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63-AF44-AF3F-3B1F6CF1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9519408"/>
        <c:axId val="549517248"/>
      </c:barChart>
      <c:catAx>
        <c:axId val="54951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549517248"/>
        <c:crosses val="autoZero"/>
        <c:auto val="1"/>
        <c:lblAlgn val="ctr"/>
        <c:lblOffset val="100"/>
        <c:noMultiLvlLbl val="0"/>
      </c:catAx>
      <c:valAx>
        <c:axId val="54951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54951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87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[CustomerRetention_project_Akehinmi_Victor.xlsx]Sheet1!PivotTable2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Sheet1!$B$14:$B$15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Sheet1!$A$16:$A$19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Sheet1!$B$16:$B$19</c:f>
              <c:numCache>
                <c:formatCode>General</c:formatCode>
                <c:ptCount val="3"/>
                <c:pt idx="0">
                  <c:v>67</c:v>
                </c:pt>
                <c:pt idx="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7-FF40-9E24-739C9F3D083F}"/>
            </c:ext>
          </c:extLst>
        </c:ser>
        <c:ser>
          <c:idx val="1"/>
          <c:order val="1"/>
          <c:tx>
            <c:strRef>
              <c:f>Sheet1!$C$14:$C$15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Sheet1!$A$16:$A$19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Sheet1!$C$16:$C$19</c:f>
              <c:numCache>
                <c:formatCode>General</c:formatCode>
                <c:ptCount val="3"/>
                <c:pt idx="0">
                  <c:v>93</c:v>
                </c:pt>
                <c:pt idx="1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47-FF40-9E24-739C9F3D083F}"/>
            </c:ext>
          </c:extLst>
        </c:ser>
        <c:ser>
          <c:idx val="2"/>
          <c:order val="2"/>
          <c:tx>
            <c:strRef>
              <c:f>Sheet1!$D$14:$D$15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Sheet1!$A$16:$A$19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Sheet1!$D$16:$D$19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5E47-FF40-9E24-739C9F3D0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6138080"/>
        <c:axId val="549573744"/>
      </c:barChart>
      <c:catAx>
        <c:axId val="64613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549573744"/>
        <c:crosses val="autoZero"/>
        <c:auto val="1"/>
        <c:lblAlgn val="ctr"/>
        <c:lblOffset val="100"/>
        <c:noMultiLvlLbl val="0"/>
      </c:catAx>
      <c:valAx>
        <c:axId val="54957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64613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003108928727086"/>
          <c:y val="0.15581994031567969"/>
          <c:w val="0.15782868931051516"/>
          <c:h val="0.469181318088663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87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[CustomerRetention_project_Akehinmi_Victor.xlsx]Sheet1!PivotTable3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Sheet1!$B$24:$B$26</c:f>
              <c:strCache>
                <c:ptCount val="1"/>
                <c:pt idx="0">
                  <c:v>Clerical - Count of Occupation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Sheet1!$A$27:$A$42</c:f>
              <c:strCach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160000</c:v>
                </c:pt>
                <c:pt idx="14">
                  <c:v>170000</c:v>
                </c:pt>
              </c:strCache>
            </c:strRef>
          </c:cat>
          <c:val>
            <c:numRef>
              <c:f>Sheet1!$B$27:$B$42</c:f>
              <c:numCache>
                <c:formatCode>General</c:formatCode>
                <c:ptCount val="15"/>
                <c:pt idx="0">
                  <c:v>7</c:v>
                </c:pt>
                <c:pt idx="1">
                  <c:v>2</c:v>
                </c:pt>
                <c:pt idx="2">
                  <c:v>18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3-AD4C-B77C-A4FC0A8555B1}"/>
            </c:ext>
          </c:extLst>
        </c:ser>
        <c:ser>
          <c:idx val="1"/>
          <c:order val="1"/>
          <c:tx>
            <c:strRef>
              <c:f>Sheet1!$C$24:$C$26</c:f>
              <c:strCache>
                <c:ptCount val="1"/>
                <c:pt idx="0">
                  <c:v>Clerical - Sum of AnnualIncome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Sheet1!$A$27:$A$42</c:f>
              <c:strCach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160000</c:v>
                </c:pt>
                <c:pt idx="14">
                  <c:v>170000</c:v>
                </c:pt>
              </c:strCache>
            </c:strRef>
          </c:cat>
          <c:val>
            <c:numRef>
              <c:f>Sheet1!$C$27:$C$42</c:f>
              <c:numCache>
                <c:formatCode>General</c:formatCode>
                <c:ptCount val="15"/>
                <c:pt idx="0">
                  <c:v>70000</c:v>
                </c:pt>
                <c:pt idx="1">
                  <c:v>40000</c:v>
                </c:pt>
                <c:pt idx="2">
                  <c:v>540000</c:v>
                </c:pt>
                <c:pt idx="3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93-AD4C-B77C-A4FC0A8555B1}"/>
            </c:ext>
          </c:extLst>
        </c:ser>
        <c:ser>
          <c:idx val="2"/>
          <c:order val="2"/>
          <c:tx>
            <c:strRef>
              <c:f>Sheet1!$D$24:$D$26</c:f>
              <c:strCache>
                <c:ptCount val="1"/>
                <c:pt idx="0">
                  <c:v>Management - Count of Occupation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Sheet1!$A$27:$A$42</c:f>
              <c:strCach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160000</c:v>
                </c:pt>
                <c:pt idx="14">
                  <c:v>170000</c:v>
                </c:pt>
              </c:strCache>
            </c:strRef>
          </c:cat>
          <c:val>
            <c:numRef>
              <c:f>Sheet1!$D$27:$D$42</c:f>
              <c:numCache>
                <c:formatCode>General</c:formatCode>
                <c:ptCount val="15"/>
                <c:pt idx="3">
                  <c:v>6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8</c:v>
                </c:pt>
                <c:pt idx="8">
                  <c:v>3</c:v>
                </c:pt>
                <c:pt idx="9">
                  <c:v>9</c:v>
                </c:pt>
                <c:pt idx="10">
                  <c:v>7</c:v>
                </c:pt>
                <c:pt idx="11">
                  <c:v>2</c:v>
                </c:pt>
                <c:pt idx="12">
                  <c:v>7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93-AD4C-B77C-A4FC0A8555B1}"/>
            </c:ext>
          </c:extLst>
        </c:ser>
        <c:ser>
          <c:idx val="3"/>
          <c:order val="3"/>
          <c:tx>
            <c:strRef>
              <c:f>Sheet1!$E$24:$E$26</c:f>
              <c:strCache>
                <c:ptCount val="1"/>
                <c:pt idx="0">
                  <c:v>Management - Sum of AnnualIncome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Sheet1!$A$27:$A$42</c:f>
              <c:strCach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160000</c:v>
                </c:pt>
                <c:pt idx="14">
                  <c:v>170000</c:v>
                </c:pt>
              </c:strCache>
            </c:strRef>
          </c:cat>
          <c:val>
            <c:numRef>
              <c:f>Sheet1!$E$27:$E$42</c:f>
              <c:numCache>
                <c:formatCode>General</c:formatCode>
                <c:ptCount val="15"/>
                <c:pt idx="3">
                  <c:v>240000</c:v>
                </c:pt>
                <c:pt idx="4">
                  <c:v>50000</c:v>
                </c:pt>
                <c:pt idx="5">
                  <c:v>120000</c:v>
                </c:pt>
                <c:pt idx="6">
                  <c:v>70000</c:v>
                </c:pt>
                <c:pt idx="7">
                  <c:v>640000</c:v>
                </c:pt>
                <c:pt idx="8">
                  <c:v>270000</c:v>
                </c:pt>
                <c:pt idx="9">
                  <c:v>900000</c:v>
                </c:pt>
                <c:pt idx="10">
                  <c:v>770000</c:v>
                </c:pt>
                <c:pt idx="11">
                  <c:v>240000</c:v>
                </c:pt>
                <c:pt idx="12">
                  <c:v>910000</c:v>
                </c:pt>
                <c:pt idx="13">
                  <c:v>160000</c:v>
                </c:pt>
                <c:pt idx="14">
                  <c:v>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93-AD4C-B77C-A4FC0A8555B1}"/>
            </c:ext>
          </c:extLst>
        </c:ser>
        <c:ser>
          <c:idx val="4"/>
          <c:order val="4"/>
          <c:tx>
            <c:strRef>
              <c:f>Sheet1!$F$24:$F$26</c:f>
              <c:strCache>
                <c:ptCount val="1"/>
                <c:pt idx="0">
                  <c:v>Professional - Count of Occupation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Sheet1!$A$27:$A$42</c:f>
              <c:strCach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160000</c:v>
                </c:pt>
                <c:pt idx="14">
                  <c:v>170000</c:v>
                </c:pt>
              </c:strCache>
            </c:strRef>
          </c:cat>
          <c:val>
            <c:numRef>
              <c:f>Sheet1!$F$27:$F$42</c:f>
              <c:numCache>
                <c:formatCode>General</c:formatCode>
                <c:ptCount val="15"/>
                <c:pt idx="2">
                  <c:v>1</c:v>
                </c:pt>
                <c:pt idx="3">
                  <c:v>1</c:v>
                </c:pt>
                <c:pt idx="5">
                  <c:v>29</c:v>
                </c:pt>
                <c:pt idx="6">
                  <c:v>30</c:v>
                </c:pt>
                <c:pt idx="7">
                  <c:v>11</c:v>
                </c:pt>
                <c:pt idx="8">
                  <c:v>11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93-AD4C-B77C-A4FC0A8555B1}"/>
            </c:ext>
          </c:extLst>
        </c:ser>
        <c:ser>
          <c:idx val="5"/>
          <c:order val="5"/>
          <c:tx>
            <c:strRef>
              <c:f>Sheet1!$G$24:$G$26</c:f>
              <c:strCache>
                <c:ptCount val="1"/>
                <c:pt idx="0">
                  <c:v>Professional - Sum of AnnualIncome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Sheet1!$A$27:$A$42</c:f>
              <c:strCach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160000</c:v>
                </c:pt>
                <c:pt idx="14">
                  <c:v>170000</c:v>
                </c:pt>
              </c:strCache>
            </c:strRef>
          </c:cat>
          <c:val>
            <c:numRef>
              <c:f>Sheet1!$G$27:$G$42</c:f>
              <c:numCache>
                <c:formatCode>General</c:formatCode>
                <c:ptCount val="15"/>
                <c:pt idx="2">
                  <c:v>30000</c:v>
                </c:pt>
                <c:pt idx="3">
                  <c:v>40000</c:v>
                </c:pt>
                <c:pt idx="5">
                  <c:v>1740000</c:v>
                </c:pt>
                <c:pt idx="6">
                  <c:v>2100000</c:v>
                </c:pt>
                <c:pt idx="7">
                  <c:v>880000</c:v>
                </c:pt>
                <c:pt idx="8">
                  <c:v>990000</c:v>
                </c:pt>
                <c:pt idx="9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93-AD4C-B77C-A4FC0A8555B1}"/>
            </c:ext>
          </c:extLst>
        </c:ser>
        <c:ser>
          <c:idx val="6"/>
          <c:order val="6"/>
          <c:tx>
            <c:strRef>
              <c:f>Sheet1!$H$24:$H$26</c:f>
              <c:strCache>
                <c:ptCount val="1"/>
                <c:pt idx="0">
                  <c:v>Skilled Manual - Count of Occupation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Sheet1!$A$27:$A$42</c:f>
              <c:strCach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160000</c:v>
                </c:pt>
                <c:pt idx="14">
                  <c:v>170000</c:v>
                </c:pt>
              </c:strCache>
            </c:strRef>
          </c:cat>
          <c:val>
            <c:numRef>
              <c:f>Sheet1!$H$27:$H$42</c:f>
              <c:numCache>
                <c:formatCode>General</c:formatCode>
                <c:ptCount val="15"/>
                <c:pt idx="0">
                  <c:v>4</c:v>
                </c:pt>
                <c:pt idx="1">
                  <c:v>7</c:v>
                </c:pt>
                <c:pt idx="2">
                  <c:v>37</c:v>
                </c:pt>
                <c:pt idx="3">
                  <c:v>53</c:v>
                </c:pt>
                <c:pt idx="5">
                  <c:v>22</c:v>
                </c:pt>
                <c:pt idx="6">
                  <c:v>21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93-AD4C-B77C-A4FC0A8555B1}"/>
            </c:ext>
          </c:extLst>
        </c:ser>
        <c:ser>
          <c:idx val="7"/>
          <c:order val="7"/>
          <c:tx>
            <c:strRef>
              <c:f>Sheet1!$I$24:$I$26</c:f>
              <c:strCache>
                <c:ptCount val="1"/>
                <c:pt idx="0">
                  <c:v>Skilled Manual - Sum of AnnualIncome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Sheet1!$A$27:$A$42</c:f>
              <c:strCache>
                <c:ptCount val="1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  <c:pt idx="10">
                  <c:v>110000</c:v>
                </c:pt>
                <c:pt idx="11">
                  <c:v>120000</c:v>
                </c:pt>
                <c:pt idx="12">
                  <c:v>130000</c:v>
                </c:pt>
                <c:pt idx="13">
                  <c:v>160000</c:v>
                </c:pt>
                <c:pt idx="14">
                  <c:v>170000</c:v>
                </c:pt>
              </c:strCache>
            </c:strRef>
          </c:cat>
          <c:val>
            <c:numRef>
              <c:f>Sheet1!$I$27:$I$42</c:f>
              <c:numCache>
                <c:formatCode>General</c:formatCode>
                <c:ptCount val="15"/>
                <c:pt idx="0">
                  <c:v>40000</c:v>
                </c:pt>
                <c:pt idx="1">
                  <c:v>140000</c:v>
                </c:pt>
                <c:pt idx="2">
                  <c:v>1110000</c:v>
                </c:pt>
                <c:pt idx="3">
                  <c:v>2120000</c:v>
                </c:pt>
                <c:pt idx="5">
                  <c:v>1320000</c:v>
                </c:pt>
                <c:pt idx="6">
                  <c:v>1470000</c:v>
                </c:pt>
                <c:pt idx="7">
                  <c:v>1360000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893-AD4C-B77C-A4FC0A855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622800"/>
        <c:axId val="689885936"/>
      </c:barChart>
      <c:catAx>
        <c:axId val="54162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689885936"/>
        <c:crosses val="autoZero"/>
        <c:auto val="1"/>
        <c:lblAlgn val="ctr"/>
        <c:lblOffset val="100"/>
        <c:noMultiLvlLbl val="0"/>
      </c:catAx>
      <c:valAx>
        <c:axId val="68988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54162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87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[CustomerRetention_project_Akehinmi_Victor.xlsx]Sheet1!PivotTable1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Sheet1!$B$3:$B$4</c:f>
              <c:strCache>
                <c:ptCount val="1"/>
                <c:pt idx="0">
                  <c:v>M</c:v>
                </c:pt>
              </c:strCache>
            </c:strRef>
          </c:tx>
          <c:spPr>
            <a:effectLst>
              <a:glow>
                <a:schemeClr val="accent1">
                  <a:alpha val="40000"/>
                </a:schemeClr>
              </a:glow>
              <a:softEdge rad="0"/>
            </a:effectLst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AB82-2048-9F88-588EDC33DB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AB82-2048-9F88-588EDC33DB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5-AB82-2048-9F88-588EDC33DB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7-AB82-2048-9F88-588EDC33DB43}"/>
              </c:ext>
            </c:extLst>
          </c:dPt>
          <c:cat>
            <c:strRef>
              <c:f>Sheet1!$A$5:$A$9</c:f>
              <c:strCache>
                <c:ptCount val="4"/>
                <c:pt idx="0">
                  <c:v>Average</c:v>
                </c:pt>
                <c:pt idx="1">
                  <c:v>Poor</c:v>
                </c:pt>
                <c:pt idx="2">
                  <c:v>Rich</c:v>
                </c:pt>
                <c:pt idx="3">
                  <c:v>Wealthy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4"/>
                <c:pt idx="0">
                  <c:v>73</c:v>
                </c:pt>
                <c:pt idx="1">
                  <c:v>74</c:v>
                </c:pt>
                <c:pt idx="2">
                  <c:v>13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82-2048-9F88-588EDC33DB43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AB82-2048-9F88-588EDC33DB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AB82-2048-9F88-588EDC33DB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AB82-2048-9F88-588EDC33DB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AB82-2048-9F88-588EDC33DB43}"/>
              </c:ext>
            </c:extLst>
          </c:dPt>
          <c:cat>
            <c:strRef>
              <c:f>Sheet1!$A$5:$A$9</c:f>
              <c:strCache>
                <c:ptCount val="4"/>
                <c:pt idx="0">
                  <c:v>Average</c:v>
                </c:pt>
                <c:pt idx="1">
                  <c:v>Poor</c:v>
                </c:pt>
                <c:pt idx="2">
                  <c:v>Rich</c:v>
                </c:pt>
                <c:pt idx="3">
                  <c:v>Wealthy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4"/>
                <c:pt idx="0">
                  <c:v>83</c:v>
                </c:pt>
                <c:pt idx="1">
                  <c:v>67</c:v>
                </c:pt>
                <c:pt idx="2">
                  <c:v>15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B82-2048-9F88-588EDC33D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87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[CustomerRetention_project_Akehinmi_Victor.xlsx]Sheet1!PivotTable1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1"/>
          <c:tx>
            <c:strRef>
              <c:f>Sheet1!$C$3:$C$4</c:f>
              <c:strCache>
                <c:ptCount val="1"/>
                <c:pt idx="0">
                  <c:v>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95-F34A-B796-FA41C63775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95-F34A-B796-FA41C63775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95-F34A-B796-FA41C63775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95-F34A-B796-FA41C63775BF}"/>
              </c:ext>
            </c:extLst>
          </c:dPt>
          <c:cat>
            <c:strRef>
              <c:f>Sheet1!$A$5:$A$9</c:f>
              <c:strCache>
                <c:ptCount val="4"/>
                <c:pt idx="0">
                  <c:v>Average</c:v>
                </c:pt>
                <c:pt idx="1">
                  <c:v>Poor</c:v>
                </c:pt>
                <c:pt idx="2">
                  <c:v>Rich</c:v>
                </c:pt>
                <c:pt idx="3">
                  <c:v>Wealthy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4"/>
                <c:pt idx="0">
                  <c:v>83</c:v>
                </c:pt>
                <c:pt idx="1">
                  <c:v>67</c:v>
                </c:pt>
                <c:pt idx="2">
                  <c:v>15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60-9A4F-8C52-9D16D9371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pieChart>
        <c:varyColors val="1"/>
        <c:ser>
          <c:idx val="1"/>
          <c:order val="0"/>
          <c:tx>
            <c:strRef>
              <c:f>Sheet1!$B$3:$B$4</c:f>
              <c:strCache>
                <c:ptCount val="1"/>
                <c:pt idx="0">
                  <c:v>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19F-654F-A8CA-18590AD908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19F-654F-A8CA-18590AD908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19F-654F-A8CA-18590AD908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19F-654F-A8CA-18590AD9080A}"/>
              </c:ext>
            </c:extLst>
          </c:dPt>
          <c:cat>
            <c:strRef>
              <c:f>Sheet1!$A$5:$A$9</c:f>
              <c:strCache>
                <c:ptCount val="4"/>
                <c:pt idx="0">
                  <c:v>Average</c:v>
                </c:pt>
                <c:pt idx="1">
                  <c:v>Poor</c:v>
                </c:pt>
                <c:pt idx="2">
                  <c:v>Rich</c:v>
                </c:pt>
                <c:pt idx="3">
                  <c:v>Wealthy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4"/>
                <c:pt idx="0">
                  <c:v>73</c:v>
                </c:pt>
                <c:pt idx="1">
                  <c:v>74</c:v>
                </c:pt>
                <c:pt idx="2">
                  <c:v>13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EC1-9145-A7D3-B1A387589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87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[CustomerRetention_project_Akehinmi_Victor.xlsx]Dashboard!PivotTable1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BirthDate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Dashboard!$K$37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Dashboard!$J$38:$J$40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Dashboard!$K$38:$K$40</c:f>
              <c:numCache>
                <c:formatCode>General</c:formatCode>
                <c:ptCount val="2"/>
                <c:pt idx="0">
                  <c:v>160</c:v>
                </c:pt>
                <c:pt idx="1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1-3D44-9FD3-DE4AA760E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47204672"/>
        <c:axId val="1954563280"/>
        <c:axId val="2012452208"/>
      </c:bar3DChart>
      <c:catAx>
        <c:axId val="19472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1954563280"/>
        <c:crosses val="autoZero"/>
        <c:auto val="1"/>
        <c:lblAlgn val="ctr"/>
        <c:lblOffset val="100"/>
        <c:noMultiLvlLbl val="0"/>
      </c:catAx>
      <c:valAx>
        <c:axId val="195456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1947204672"/>
        <c:crosses val="autoZero"/>
        <c:crossBetween val="between"/>
      </c:valAx>
      <c:serAx>
        <c:axId val="2012452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195456328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87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image" Target="../media/image6.svg"/><Relationship Id="rId18" Type="http://schemas.openxmlformats.org/officeDocument/2006/relationships/image" Target="../media/image11.png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12" Type="http://schemas.openxmlformats.org/officeDocument/2006/relationships/image" Target="../media/image5.png"/><Relationship Id="rId17" Type="http://schemas.openxmlformats.org/officeDocument/2006/relationships/image" Target="../media/image10.svg"/><Relationship Id="rId2" Type="http://schemas.openxmlformats.org/officeDocument/2006/relationships/chart" Target="../charts/chart7.xml"/><Relationship Id="rId16" Type="http://schemas.openxmlformats.org/officeDocument/2006/relationships/image" Target="../media/image9.png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1" Type="http://schemas.openxmlformats.org/officeDocument/2006/relationships/image" Target="../media/image4.svg"/><Relationship Id="rId5" Type="http://schemas.openxmlformats.org/officeDocument/2006/relationships/chart" Target="../charts/chart10.xml"/><Relationship Id="rId15" Type="http://schemas.openxmlformats.org/officeDocument/2006/relationships/image" Target="../media/image8.svg"/><Relationship Id="rId10" Type="http://schemas.openxmlformats.org/officeDocument/2006/relationships/image" Target="../media/image3.png"/><Relationship Id="rId19" Type="http://schemas.openxmlformats.org/officeDocument/2006/relationships/image" Target="../media/image12.svg"/><Relationship Id="rId4" Type="http://schemas.openxmlformats.org/officeDocument/2006/relationships/chart" Target="../charts/chart9.xml"/><Relationship Id="rId9" Type="http://schemas.openxmlformats.org/officeDocument/2006/relationships/image" Target="../media/image2.svg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368300</xdr:colOff>
      <xdr:row>1</xdr:row>
      <xdr:rowOff>184150</xdr:rowOff>
    </xdr:from>
    <xdr:to>
      <xdr:col>7</xdr:col>
      <xdr:colOff>1282700</xdr:colOff>
      <xdr:row>9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CEECA6-CED4-38E8-AB77-2F12C4517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241300</xdr:colOff>
      <xdr:row>11</xdr:row>
      <xdr:rowOff>158750</xdr:rowOff>
    </xdr:from>
    <xdr:to>
      <xdr:col>7</xdr:col>
      <xdr:colOff>1003300</xdr:colOff>
      <xdr:row>19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87B989-BBCF-1245-CEAD-887EF6171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317500</xdr:colOff>
      <xdr:row>23</xdr:row>
      <xdr:rowOff>158750</xdr:rowOff>
    </xdr:from>
    <xdr:to>
      <xdr:col>17</xdr:col>
      <xdr:colOff>330200</xdr:colOff>
      <xdr:row>41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C9DEBF-17AF-7ECA-B82F-E73FE8E04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57</xdr:row>
      <xdr:rowOff>19050</xdr:rowOff>
    </xdr:from>
    <xdr:to>
      <xdr:col>10</xdr:col>
      <xdr:colOff>609600</xdr:colOff>
      <xdr:row>82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B0B683F-75A4-2ACF-DD86-3F93A586A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1231900</xdr:colOff>
      <xdr:row>5</xdr:row>
      <xdr:rowOff>139700</xdr:rowOff>
    </xdr:from>
    <xdr:to>
      <xdr:col>9</xdr:col>
      <xdr:colOff>325120</xdr:colOff>
      <xdr:row>13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96BBB-D363-7FDB-A819-DE5BFB652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774700</xdr:colOff>
      <xdr:row>34</xdr:row>
      <xdr:rowOff>50800</xdr:rowOff>
    </xdr:from>
    <xdr:to>
      <xdr:col>27</xdr:col>
      <xdr:colOff>766379</xdr:colOff>
      <xdr:row>86</xdr:row>
      <xdr:rowOff>161270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8FBD3B46-5BAD-F879-BCBE-2FB611A66253}"/>
            </a:ext>
          </a:extLst>
        </xdr:cNvPr>
        <xdr:cNvSpPr/>
      </xdr:nvSpPr>
      <xdr:spPr>
        <a:xfrm>
          <a:off x="13255734" y="6751145"/>
          <a:ext cx="10436335" cy="10358056"/>
        </a:xfrm>
        <a:prstGeom prst="roundRect">
          <a:avLst>
            <a:gd name="adj" fmla="val 3564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118534</xdr:colOff>
      <xdr:row>35</xdr:row>
      <xdr:rowOff>16933</xdr:rowOff>
    </xdr:from>
    <xdr:to>
      <xdr:col>18</xdr:col>
      <xdr:colOff>558800</xdr:colOff>
      <xdr:row>73</xdr:row>
      <xdr:rowOff>177800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AB6537CD-2F29-5C36-DFCC-31EFD9F4DDEA}"/>
            </a:ext>
          </a:extLst>
        </xdr:cNvPr>
        <xdr:cNvSpPr/>
      </xdr:nvSpPr>
      <xdr:spPr>
        <a:xfrm>
          <a:off x="13326534" y="6684433"/>
          <a:ext cx="2091266" cy="7399867"/>
        </a:xfrm>
        <a:prstGeom prst="roundRect">
          <a:avLst>
            <a:gd name="adj" fmla="val 750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626533</xdr:colOff>
      <xdr:row>35</xdr:row>
      <xdr:rowOff>16933</xdr:rowOff>
    </xdr:from>
    <xdr:to>
      <xdr:col>27</xdr:col>
      <xdr:colOff>547413</xdr:colOff>
      <xdr:row>38</xdr:row>
      <xdr:rowOff>84667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B073E73A-8748-6C2D-E1C1-E1E412BE580B}"/>
            </a:ext>
          </a:extLst>
        </xdr:cNvPr>
        <xdr:cNvSpPr/>
      </xdr:nvSpPr>
      <xdr:spPr>
        <a:xfrm>
          <a:off x="15603774" y="6914347"/>
          <a:ext cx="7869329" cy="658941"/>
        </a:xfrm>
        <a:prstGeom prst="roundRect">
          <a:avLst>
            <a:gd name="adj" fmla="val 7507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778934</xdr:colOff>
      <xdr:row>35</xdr:row>
      <xdr:rowOff>152403</xdr:rowOff>
    </xdr:from>
    <xdr:to>
      <xdr:col>23</xdr:col>
      <xdr:colOff>795866</xdr:colOff>
      <xdr:row>37</xdr:row>
      <xdr:rowOff>135467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9D4DAB58-35FB-960D-B04B-0A0BF03C4E47}"/>
            </a:ext>
          </a:extLst>
        </xdr:cNvPr>
        <xdr:cNvSpPr/>
      </xdr:nvSpPr>
      <xdr:spPr>
        <a:xfrm>
          <a:off x="15866534" y="7264403"/>
          <a:ext cx="4207932" cy="389464"/>
        </a:xfrm>
        <a:prstGeom prst="roundRect">
          <a:avLst>
            <a:gd name="adj" fmla="val 750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>
              <a:solidFill>
                <a:schemeClr val="tx2">
                  <a:lumMod val="50000"/>
                  <a:lumOff val="50000"/>
                </a:schemeClr>
              </a:solidFill>
            </a:rPr>
            <a:t>Search</a:t>
          </a:r>
          <a:endParaRPr lang="en-GB" sz="1100">
            <a:solidFill>
              <a:schemeClr val="tx2">
                <a:lumMod val="50000"/>
                <a:lumOff val="50000"/>
              </a:schemeClr>
            </a:solidFill>
          </a:endParaRPr>
        </a:p>
      </xdr:txBody>
    </xdr:sp>
    <xdr:clientData/>
  </xdr:twoCellAnchor>
  <xdr:oneCellAnchor>
    <xdr:from>
      <xdr:col>16</xdr:col>
      <xdr:colOff>338667</xdr:colOff>
      <xdr:row>39</xdr:row>
      <xdr:rowOff>152399</xdr:rowOff>
    </xdr:from>
    <xdr:ext cx="1507067" cy="342785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6F245E8-309A-7471-DDA5-74D16068A560}"/>
            </a:ext>
          </a:extLst>
        </xdr:cNvPr>
        <xdr:cNvSpPr txBox="1"/>
      </xdr:nvSpPr>
      <xdr:spPr>
        <a:xfrm>
          <a:off x="13614400" y="7416799"/>
          <a:ext cx="1507067" cy="342785"/>
        </a:xfrm>
        <a:prstGeom prst="rect">
          <a:avLst/>
        </a:prstGeom>
        <a:solidFill>
          <a:schemeClr val="accent1"/>
        </a:solidFill>
        <a:effectLst>
          <a:softEdge rad="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600">
              <a:solidFill>
                <a:schemeClr val="bg1"/>
              </a:solidFill>
            </a:rPr>
            <a:t>Dashboard</a:t>
          </a:r>
          <a:endParaRPr lang="en-GB" sz="1100">
            <a:solidFill>
              <a:schemeClr val="bg1"/>
            </a:solidFill>
          </a:endParaRPr>
        </a:p>
      </xdr:txBody>
    </xdr:sp>
    <xdr:clientData/>
  </xdr:oneCellAnchor>
  <xdr:oneCellAnchor>
    <xdr:from>
      <xdr:col>16</xdr:col>
      <xdr:colOff>338667</xdr:colOff>
      <xdr:row>42</xdr:row>
      <xdr:rowOff>29748</xdr:rowOff>
    </xdr:from>
    <xdr:ext cx="1507067" cy="34278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AE66ADC-98F2-1774-0E59-DBEF4099E37B}"/>
            </a:ext>
          </a:extLst>
        </xdr:cNvPr>
        <xdr:cNvSpPr txBox="1"/>
      </xdr:nvSpPr>
      <xdr:spPr>
        <a:xfrm>
          <a:off x="13614400" y="7852948"/>
          <a:ext cx="1507067" cy="342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600">
              <a:solidFill>
                <a:schemeClr val="tx1">
                  <a:lumMod val="50000"/>
                  <a:lumOff val="50000"/>
                </a:schemeClr>
              </a:solidFill>
            </a:rPr>
            <a:t>Analytics</a:t>
          </a:r>
          <a:endParaRPr lang="en-GB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oneCellAnchor>
  <xdr:oneCellAnchor>
    <xdr:from>
      <xdr:col>16</xdr:col>
      <xdr:colOff>338667</xdr:colOff>
      <xdr:row>44</xdr:row>
      <xdr:rowOff>46682</xdr:rowOff>
    </xdr:from>
    <xdr:ext cx="1507067" cy="342785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3F85DE5-2C04-2B5E-E11D-51E581DD634E}"/>
            </a:ext>
          </a:extLst>
        </xdr:cNvPr>
        <xdr:cNvSpPr txBox="1"/>
      </xdr:nvSpPr>
      <xdr:spPr>
        <a:xfrm>
          <a:off x="13614400" y="8242415"/>
          <a:ext cx="1507067" cy="342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600">
              <a:solidFill>
                <a:schemeClr val="tx1">
                  <a:lumMod val="50000"/>
                  <a:lumOff val="50000"/>
                </a:schemeClr>
              </a:solidFill>
            </a:rPr>
            <a:t>Projects</a:t>
          </a:r>
          <a:endParaRPr lang="en-GB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oneCellAnchor>
  <xdr:oneCellAnchor>
    <xdr:from>
      <xdr:col>16</xdr:col>
      <xdr:colOff>338667</xdr:colOff>
      <xdr:row>46</xdr:row>
      <xdr:rowOff>152399</xdr:rowOff>
    </xdr:from>
    <xdr:ext cx="1507067" cy="342785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6A650C2-B92B-5C88-3A16-9204DEB762D9}"/>
            </a:ext>
          </a:extLst>
        </xdr:cNvPr>
        <xdr:cNvSpPr txBox="1"/>
      </xdr:nvSpPr>
      <xdr:spPr>
        <a:xfrm>
          <a:off x="13614400" y="8720666"/>
          <a:ext cx="1507067" cy="342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600">
              <a:solidFill>
                <a:schemeClr val="tx1">
                  <a:lumMod val="50000"/>
                  <a:lumOff val="50000"/>
                </a:schemeClr>
              </a:solidFill>
            </a:rPr>
            <a:t>Calender</a:t>
          </a:r>
          <a:endParaRPr lang="en-GB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oneCellAnchor>
  <xdr:oneCellAnchor>
    <xdr:from>
      <xdr:col>16</xdr:col>
      <xdr:colOff>338667</xdr:colOff>
      <xdr:row>49</xdr:row>
      <xdr:rowOff>29748</xdr:rowOff>
    </xdr:from>
    <xdr:ext cx="1507067" cy="342785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E7A3802-46C4-859E-8EC9-CBDEE271C059}"/>
            </a:ext>
          </a:extLst>
        </xdr:cNvPr>
        <xdr:cNvSpPr txBox="1"/>
      </xdr:nvSpPr>
      <xdr:spPr>
        <a:xfrm>
          <a:off x="13614400" y="9156815"/>
          <a:ext cx="1507067" cy="342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600">
              <a:solidFill>
                <a:schemeClr val="tx1">
                  <a:lumMod val="50000"/>
                  <a:lumOff val="50000"/>
                </a:schemeClr>
              </a:solidFill>
            </a:rPr>
            <a:t>Messages</a:t>
          </a:r>
          <a:endParaRPr lang="en-GB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oneCellAnchor>
  <xdr:oneCellAnchor>
    <xdr:from>
      <xdr:col>16</xdr:col>
      <xdr:colOff>338667</xdr:colOff>
      <xdr:row>51</xdr:row>
      <xdr:rowOff>29748</xdr:rowOff>
    </xdr:from>
    <xdr:ext cx="1507067" cy="342785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26988A8-B663-6D8F-D5F8-AC54F4D251E7}"/>
            </a:ext>
          </a:extLst>
        </xdr:cNvPr>
        <xdr:cNvSpPr txBox="1"/>
      </xdr:nvSpPr>
      <xdr:spPr>
        <a:xfrm>
          <a:off x="13614400" y="9529348"/>
          <a:ext cx="1507067" cy="342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600">
              <a:solidFill>
                <a:schemeClr val="tx1">
                  <a:lumMod val="50000"/>
                  <a:lumOff val="50000"/>
                </a:schemeClr>
              </a:solidFill>
            </a:rPr>
            <a:t>Settings</a:t>
          </a:r>
          <a:endParaRPr lang="en-GB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oneCellAnchor>
  <xdr:twoCellAnchor>
    <xdr:from>
      <xdr:col>18</xdr:col>
      <xdr:colOff>660995</xdr:colOff>
      <xdr:row>45</xdr:row>
      <xdr:rowOff>131380</xdr:rowOff>
    </xdr:from>
    <xdr:to>
      <xdr:col>27</xdr:col>
      <xdr:colOff>525517</xdr:colOff>
      <xdr:row>85</xdr:row>
      <xdr:rowOff>122563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47D60877-5D94-06CF-7361-DFF6C1BDFA4A}"/>
            </a:ext>
          </a:extLst>
        </xdr:cNvPr>
        <xdr:cNvGrpSpPr/>
      </xdr:nvGrpSpPr>
      <xdr:grpSpPr>
        <a:xfrm>
          <a:off x="15748595" y="9275380"/>
          <a:ext cx="7890922" cy="8119183"/>
          <a:chOff x="15497821" y="7097484"/>
          <a:chExt cx="7192827" cy="6894286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CF75388F-B81C-7B45-BD3E-20A00FD8D50A}"/>
              </a:ext>
            </a:extLst>
          </xdr:cNvPr>
          <xdr:cNvGraphicFramePr>
            <a:graphicFrameLocks/>
          </xdr:cNvGraphicFramePr>
        </xdr:nvGraphicFramePr>
        <xdr:xfrm>
          <a:off x="15497821" y="7097484"/>
          <a:ext cx="5364216" cy="26506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C722B58C-A30D-6C45-AC6A-BB3771596469}"/>
              </a:ext>
            </a:extLst>
          </xdr:cNvPr>
          <xdr:cNvGraphicFramePr>
            <a:graphicFrameLocks/>
          </xdr:cNvGraphicFramePr>
        </xdr:nvGraphicFramePr>
        <xdr:xfrm>
          <a:off x="15505292" y="9812936"/>
          <a:ext cx="3615195" cy="12756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A56182D6-1258-7047-A091-7849C770D800}"/>
              </a:ext>
            </a:extLst>
          </xdr:cNvPr>
          <xdr:cNvGraphicFramePr>
            <a:graphicFrameLocks/>
          </xdr:cNvGraphicFramePr>
        </xdr:nvGraphicFramePr>
        <xdr:xfrm>
          <a:off x="19222336" y="9820406"/>
          <a:ext cx="3455114" cy="12473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8938D7C6-4E25-374E-BA92-17B518C152A0}"/>
              </a:ext>
            </a:extLst>
          </xdr:cNvPr>
          <xdr:cNvGraphicFramePr>
            <a:graphicFrameLocks/>
          </xdr:cNvGraphicFramePr>
        </xdr:nvGraphicFramePr>
        <xdr:xfrm>
          <a:off x="18038330" y="11174185"/>
          <a:ext cx="4652318" cy="28175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66AABA4C-954E-6240-AA8F-F8613B8457CD}"/>
              </a:ext>
            </a:extLst>
          </xdr:cNvPr>
          <xdr:cNvGraphicFramePr>
            <a:graphicFrameLocks/>
          </xdr:cNvGraphicFramePr>
        </xdr:nvGraphicFramePr>
        <xdr:xfrm>
          <a:off x="20912837" y="8478154"/>
          <a:ext cx="1775142" cy="12928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123307A4-071C-B689-4B40-B5E922004249}"/>
              </a:ext>
            </a:extLst>
          </xdr:cNvPr>
          <xdr:cNvGraphicFramePr>
            <a:graphicFrameLocks/>
          </xdr:cNvGraphicFramePr>
        </xdr:nvGraphicFramePr>
        <xdr:xfrm>
          <a:off x="20912837" y="7097484"/>
          <a:ext cx="1775142" cy="12953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202B6620-EFC7-48C9-7C37-72FDD79EAFA9}"/>
              </a:ext>
            </a:extLst>
          </xdr:cNvPr>
          <xdr:cNvGraphicFramePr/>
        </xdr:nvGraphicFramePr>
        <xdr:xfrm>
          <a:off x="15514754" y="11197580"/>
          <a:ext cx="2453679" cy="27772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16</xdr:col>
      <xdr:colOff>84668</xdr:colOff>
      <xdr:row>77</xdr:row>
      <xdr:rowOff>101601</xdr:rowOff>
    </xdr:from>
    <xdr:to>
      <xdr:col>18</xdr:col>
      <xdr:colOff>575733</xdr:colOff>
      <xdr:row>85</xdr:row>
      <xdr:rowOff>130193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D0304AC-766E-95EB-C0CB-B76B764F011A}"/>
            </a:ext>
          </a:extLst>
        </xdr:cNvPr>
        <xdr:cNvGrpSpPr/>
      </xdr:nvGrpSpPr>
      <xdr:grpSpPr>
        <a:xfrm>
          <a:off x="13495868" y="15748001"/>
          <a:ext cx="2167465" cy="1654192"/>
          <a:chOff x="13292668" y="13106401"/>
          <a:chExt cx="2142065" cy="1552592"/>
        </a:xfrm>
      </xdr:grpSpPr>
      <xdr:sp macro="" textlink="">
        <xdr:nvSpPr>
          <xdr:cNvPr id="11" name="Rounded Rectangle 10">
            <a:extLst>
              <a:ext uri="{FF2B5EF4-FFF2-40B4-BE49-F238E27FC236}">
                <a16:creationId xmlns:a16="http://schemas.microsoft.com/office/drawing/2014/main" id="{54560CDE-7F57-E93A-3981-E9E808032E7C}"/>
              </a:ext>
            </a:extLst>
          </xdr:cNvPr>
          <xdr:cNvSpPr/>
        </xdr:nvSpPr>
        <xdr:spPr>
          <a:xfrm>
            <a:off x="13292668" y="13106401"/>
            <a:ext cx="2142065" cy="1552592"/>
          </a:xfrm>
          <a:prstGeom prst="roundRect">
            <a:avLst>
              <a:gd name="adj" fmla="val 17507"/>
            </a:avLst>
          </a:prstGeom>
          <a:solidFill>
            <a:schemeClr val="accent1"/>
          </a:solidFill>
          <a:ln>
            <a:noFill/>
          </a:ln>
          <a:effectLst>
            <a:outerShdw blurRad="129058" dist="38100" dir="16200000" sx="101869" sy="101869" rotWithShape="0">
              <a:prstClr val="black">
                <a:alpha val="23868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B37E436C-6D3A-F102-2A61-36BC37E70CAC}"/>
              </a:ext>
            </a:extLst>
          </xdr:cNvPr>
          <xdr:cNvSpPr txBox="1"/>
        </xdr:nvSpPr>
        <xdr:spPr>
          <a:xfrm>
            <a:off x="13597467" y="14130867"/>
            <a:ext cx="1507067" cy="342785"/>
          </a:xfrm>
          <a:prstGeom prst="rect">
            <a:avLst/>
          </a:prstGeom>
          <a:solidFill>
            <a:schemeClr val="bg1"/>
          </a:solidFill>
          <a:effectLst>
            <a:softEdge rad="0"/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en-GB" sz="1600">
                <a:solidFill>
                  <a:schemeClr val="tx1"/>
                </a:solidFill>
              </a:rPr>
              <a:t>Upgrade</a:t>
            </a:r>
            <a:r>
              <a:rPr lang="en-GB" sz="1600">
                <a:solidFill>
                  <a:schemeClr val="bg1"/>
                </a:solidFill>
              </a:rPr>
              <a:t> </a:t>
            </a:r>
            <a:r>
              <a:rPr lang="en-GB" sz="1600">
                <a:solidFill>
                  <a:schemeClr val="tx1"/>
                </a:solidFill>
              </a:rPr>
              <a:t>Now</a:t>
            </a:r>
            <a:endParaRPr lang="en-GB" sz="1100">
              <a:solidFill>
                <a:schemeClr val="tx1"/>
              </a:solidFill>
            </a:endParaRP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EEE88768-3FC1-089D-0A8D-775F06E834C3}"/>
              </a:ext>
            </a:extLst>
          </xdr:cNvPr>
          <xdr:cNvSpPr txBox="1"/>
        </xdr:nvSpPr>
        <xdr:spPr>
          <a:xfrm>
            <a:off x="13488580" y="13218337"/>
            <a:ext cx="1757327" cy="32488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400">
                <a:solidFill>
                  <a:schemeClr val="bg1"/>
                </a:solidFill>
              </a:rPr>
              <a:t>Upgrade to premium</a:t>
            </a:r>
          </a:p>
          <a:p>
            <a:endParaRPr lang="en-GB" sz="1400">
              <a:solidFill>
                <a:schemeClr val="bg1"/>
              </a:solidFill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E072F677-345B-69C8-410C-7BBCC98F263D}"/>
              </a:ext>
            </a:extLst>
          </xdr:cNvPr>
          <xdr:cNvSpPr txBox="1"/>
        </xdr:nvSpPr>
        <xdr:spPr>
          <a:xfrm>
            <a:off x="13503347" y="13569802"/>
            <a:ext cx="1860699" cy="60546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1000">
                <a:solidFill>
                  <a:schemeClr val="bg1"/>
                </a:solidFill>
              </a:rPr>
              <a:t>Unlock Premium</a:t>
            </a:r>
            <a:r>
              <a:rPr lang="en-GB" sz="1000" baseline="0">
                <a:solidFill>
                  <a:schemeClr val="bg1"/>
                </a:solidFill>
              </a:rPr>
              <a:t> Features and Manage Unlimited Projects</a:t>
            </a:r>
            <a:endParaRPr lang="en-GB" sz="1000">
              <a:solidFill>
                <a:schemeClr val="bg1"/>
              </a:solidFill>
            </a:endParaRPr>
          </a:p>
          <a:p>
            <a:endParaRPr lang="en-GB" sz="16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25</xdr:col>
      <xdr:colOff>1143506</xdr:colOff>
      <xdr:row>35</xdr:row>
      <xdr:rowOff>127000</xdr:rowOff>
    </xdr:from>
    <xdr:to>
      <xdr:col>27</xdr:col>
      <xdr:colOff>373123</xdr:colOff>
      <xdr:row>37</xdr:row>
      <xdr:rowOff>135467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30AE67FC-CB1F-CDF5-29C4-D830C11B99EA}"/>
            </a:ext>
          </a:extLst>
        </xdr:cNvPr>
        <xdr:cNvSpPr/>
      </xdr:nvSpPr>
      <xdr:spPr>
        <a:xfrm>
          <a:off x="22032816" y="7024414"/>
          <a:ext cx="1265997" cy="402605"/>
        </a:xfrm>
        <a:prstGeom prst="roundRect">
          <a:avLst>
            <a:gd name="adj" fmla="val 750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600">
              <a:solidFill>
                <a:schemeClr val="tx2">
                  <a:lumMod val="50000"/>
                  <a:lumOff val="50000"/>
                </a:schemeClr>
              </a:solidFill>
            </a:rPr>
            <a:t>New Project</a:t>
          </a:r>
          <a:endParaRPr lang="en-GB" sz="1100">
            <a:solidFill>
              <a:schemeClr val="tx2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oneCell">
    <xdr:from>
      <xdr:col>16</xdr:col>
      <xdr:colOff>260741</xdr:colOff>
      <xdr:row>35</xdr:row>
      <xdr:rowOff>169970</xdr:rowOff>
    </xdr:from>
    <xdr:to>
      <xdr:col>16</xdr:col>
      <xdr:colOff>777351</xdr:colOff>
      <xdr:row>38</xdr:row>
      <xdr:rowOff>105393</xdr:rowOff>
    </xdr:to>
    <xdr:pic>
      <xdr:nvPicPr>
        <xdr:cNvPr id="25" name="Graphic 24" descr="Bar chart with solid fill">
          <a:extLst>
            <a:ext uri="{FF2B5EF4-FFF2-40B4-BE49-F238E27FC236}">
              <a16:creationId xmlns:a16="http://schemas.microsoft.com/office/drawing/2014/main" id="{41874B7A-A071-807D-C4DD-59AE0D1CB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3487911" y="6879404"/>
          <a:ext cx="516610" cy="510517"/>
        </a:xfrm>
        <a:prstGeom prst="rect">
          <a:avLst/>
        </a:prstGeom>
      </xdr:spPr>
    </xdr:pic>
    <xdr:clientData/>
  </xdr:twoCellAnchor>
  <xdr:twoCellAnchor editAs="oneCell">
    <xdr:from>
      <xdr:col>17</xdr:col>
      <xdr:colOff>775487</xdr:colOff>
      <xdr:row>44</xdr:row>
      <xdr:rowOff>101149</xdr:rowOff>
    </xdr:from>
    <xdr:to>
      <xdr:col>18</xdr:col>
      <xdr:colOff>179822</xdr:colOff>
      <xdr:row>45</xdr:row>
      <xdr:rowOff>127145</xdr:rowOff>
    </xdr:to>
    <xdr:pic>
      <xdr:nvPicPr>
        <xdr:cNvPr id="27" name="Graphic 26" descr="List with solid fill">
          <a:extLst>
            <a:ext uri="{FF2B5EF4-FFF2-40B4-BE49-F238E27FC236}">
              <a16:creationId xmlns:a16="http://schemas.microsoft.com/office/drawing/2014/main" id="{2853762F-0C4D-F41A-A4EA-C257C72A2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4723009" y="8507875"/>
          <a:ext cx="224778" cy="217058"/>
        </a:xfrm>
        <a:prstGeom prst="rect">
          <a:avLst/>
        </a:prstGeom>
      </xdr:spPr>
    </xdr:pic>
    <xdr:clientData/>
  </xdr:twoCellAnchor>
  <xdr:twoCellAnchor editAs="oneCell">
    <xdr:from>
      <xdr:col>17</xdr:col>
      <xdr:colOff>728133</xdr:colOff>
      <xdr:row>46</xdr:row>
      <xdr:rowOff>118533</xdr:rowOff>
    </xdr:from>
    <xdr:to>
      <xdr:col>18</xdr:col>
      <xdr:colOff>260773</xdr:colOff>
      <xdr:row>48</xdr:row>
      <xdr:rowOff>84666</xdr:rowOff>
    </xdr:to>
    <xdr:pic>
      <xdr:nvPicPr>
        <xdr:cNvPr id="29" name="Graphic 28" descr="Daily calendar with solid fill">
          <a:extLst>
            <a:ext uri="{FF2B5EF4-FFF2-40B4-BE49-F238E27FC236}">
              <a16:creationId xmlns:a16="http://schemas.microsoft.com/office/drawing/2014/main" id="{17C809DD-02EF-1727-4235-494564356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4833600" y="8686800"/>
          <a:ext cx="362373" cy="338666"/>
        </a:xfrm>
        <a:prstGeom prst="rect">
          <a:avLst/>
        </a:prstGeom>
      </xdr:spPr>
    </xdr:pic>
    <xdr:clientData/>
  </xdr:twoCellAnchor>
  <xdr:twoCellAnchor editAs="oneCell">
    <xdr:from>
      <xdr:col>17</xdr:col>
      <xdr:colOff>749718</xdr:colOff>
      <xdr:row>49</xdr:row>
      <xdr:rowOff>63962</xdr:rowOff>
    </xdr:from>
    <xdr:to>
      <xdr:col>18</xdr:col>
      <xdr:colOff>256633</xdr:colOff>
      <xdr:row>51</xdr:row>
      <xdr:rowOff>2414</xdr:rowOff>
    </xdr:to>
    <xdr:pic>
      <xdr:nvPicPr>
        <xdr:cNvPr id="31" name="Graphic 30" descr="Chat with solid fill">
          <a:extLst>
            <a:ext uri="{FF2B5EF4-FFF2-40B4-BE49-F238E27FC236}">
              <a16:creationId xmlns:a16="http://schemas.microsoft.com/office/drawing/2014/main" id="{1CA4B7C0-CFE2-9314-21C1-82159509E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4732879" y="9414584"/>
          <a:ext cx="329453" cy="320110"/>
        </a:xfrm>
        <a:prstGeom prst="rect">
          <a:avLst/>
        </a:prstGeom>
      </xdr:spPr>
    </xdr:pic>
    <xdr:clientData/>
  </xdr:twoCellAnchor>
  <xdr:twoCellAnchor editAs="oneCell">
    <xdr:from>
      <xdr:col>17</xdr:col>
      <xdr:colOff>730414</xdr:colOff>
      <xdr:row>51</xdr:row>
      <xdr:rowOff>65804</xdr:rowOff>
    </xdr:from>
    <xdr:to>
      <xdr:col>18</xdr:col>
      <xdr:colOff>220198</xdr:colOff>
      <xdr:row>52</xdr:row>
      <xdr:rowOff>178952</xdr:rowOff>
    </xdr:to>
    <xdr:pic>
      <xdr:nvPicPr>
        <xdr:cNvPr id="33" name="Graphic 32" descr="Single gear with solid fill">
          <a:extLst>
            <a:ext uri="{FF2B5EF4-FFF2-40B4-BE49-F238E27FC236}">
              <a16:creationId xmlns:a16="http://schemas.microsoft.com/office/drawing/2014/main" id="{5E6E53D2-5DEF-775F-B1AF-C03999F40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4713575" y="9798084"/>
          <a:ext cx="312322" cy="303977"/>
        </a:xfrm>
        <a:prstGeom prst="rect">
          <a:avLst/>
        </a:prstGeom>
      </xdr:spPr>
    </xdr:pic>
    <xdr:clientData/>
  </xdr:twoCellAnchor>
  <xdr:twoCellAnchor editAs="oneCell">
    <xdr:from>
      <xdr:col>17</xdr:col>
      <xdr:colOff>775487</xdr:colOff>
      <xdr:row>42</xdr:row>
      <xdr:rowOff>78674</xdr:rowOff>
    </xdr:from>
    <xdr:to>
      <xdr:col>18</xdr:col>
      <xdr:colOff>183358</xdr:colOff>
      <xdr:row>43</xdr:row>
      <xdr:rowOff>112390</xdr:rowOff>
    </xdr:to>
    <xdr:pic>
      <xdr:nvPicPr>
        <xdr:cNvPr id="38" name="Graphic 37" descr="Bar chart with solid fill">
          <a:extLst>
            <a:ext uri="{FF2B5EF4-FFF2-40B4-BE49-F238E27FC236}">
              <a16:creationId xmlns:a16="http://schemas.microsoft.com/office/drawing/2014/main" id="{E06584AD-8EC9-DC4F-B08C-3F08EF536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4723009" y="8103276"/>
          <a:ext cx="228314" cy="224778"/>
        </a:xfrm>
        <a:prstGeom prst="rect">
          <a:avLst/>
        </a:prstGeom>
      </xdr:spPr>
    </xdr:pic>
    <xdr:clientData/>
  </xdr:twoCellAnchor>
  <xdr:twoCellAnchor>
    <xdr:from>
      <xdr:col>18</xdr:col>
      <xdr:colOff>647700</xdr:colOff>
      <xdr:row>39</xdr:row>
      <xdr:rowOff>0</xdr:rowOff>
    </xdr:from>
    <xdr:to>
      <xdr:col>21</xdr:col>
      <xdr:colOff>723900</xdr:colOff>
      <xdr:row>45</xdr:row>
      <xdr:rowOff>0</xdr:rowOff>
    </xdr:to>
    <xdr:sp macro="" textlink="">
      <xdr:nvSpPr>
        <xdr:cNvPr id="41" name="Rounded Rectangle 40">
          <a:extLst>
            <a:ext uri="{FF2B5EF4-FFF2-40B4-BE49-F238E27FC236}">
              <a16:creationId xmlns:a16="http://schemas.microsoft.com/office/drawing/2014/main" id="{0992B773-9434-F3B4-F2EA-D24B28C12EA4}"/>
            </a:ext>
          </a:extLst>
        </xdr:cNvPr>
        <xdr:cNvSpPr/>
      </xdr:nvSpPr>
      <xdr:spPr>
        <a:xfrm>
          <a:off x="15506700" y="7429500"/>
          <a:ext cx="2552700" cy="1143000"/>
        </a:xfrm>
        <a:prstGeom prst="roundRect">
          <a:avLst>
            <a:gd name="adj" fmla="val 6667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22</xdr:col>
      <xdr:colOff>11386</xdr:colOff>
      <xdr:row>39</xdr:row>
      <xdr:rowOff>0</xdr:rowOff>
    </xdr:from>
    <xdr:to>
      <xdr:col>25</xdr:col>
      <xdr:colOff>0</xdr:colOff>
      <xdr:row>45</xdr:row>
      <xdr:rowOff>0</xdr:rowOff>
    </xdr:to>
    <xdr:sp macro="" textlink="">
      <xdr:nvSpPr>
        <xdr:cNvPr id="42" name="Rounded Rectangle 41">
          <a:extLst>
            <a:ext uri="{FF2B5EF4-FFF2-40B4-BE49-F238E27FC236}">
              <a16:creationId xmlns:a16="http://schemas.microsoft.com/office/drawing/2014/main" id="{3E4A990D-81D5-39D5-84D3-EEEF0BA6F524}"/>
            </a:ext>
          </a:extLst>
        </xdr:cNvPr>
        <xdr:cNvSpPr/>
      </xdr:nvSpPr>
      <xdr:spPr>
        <a:xfrm>
          <a:off x="18316903" y="7685690"/>
          <a:ext cx="2572407" cy="1182413"/>
        </a:xfrm>
        <a:prstGeom prst="roundRect">
          <a:avLst>
            <a:gd name="adj" fmla="val 6667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25</xdr:col>
      <xdr:colOff>98970</xdr:colOff>
      <xdr:row>39</xdr:row>
      <xdr:rowOff>0</xdr:rowOff>
    </xdr:from>
    <xdr:to>
      <xdr:col>27</xdr:col>
      <xdr:colOff>547414</xdr:colOff>
      <xdr:row>45</xdr:row>
      <xdr:rowOff>0</xdr:rowOff>
    </xdr:to>
    <xdr:sp macro="" textlink="">
      <xdr:nvSpPr>
        <xdr:cNvPr id="43" name="Rounded Rectangle 42">
          <a:extLst>
            <a:ext uri="{FF2B5EF4-FFF2-40B4-BE49-F238E27FC236}">
              <a16:creationId xmlns:a16="http://schemas.microsoft.com/office/drawing/2014/main" id="{42011B2C-1868-38AF-34FF-883BC0B78900}"/>
            </a:ext>
          </a:extLst>
        </xdr:cNvPr>
        <xdr:cNvSpPr/>
      </xdr:nvSpPr>
      <xdr:spPr>
        <a:xfrm>
          <a:off x="20988280" y="7685690"/>
          <a:ext cx="2484824" cy="1182413"/>
        </a:xfrm>
        <a:prstGeom prst="roundRect">
          <a:avLst>
            <a:gd name="adj" fmla="val 6667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18</xdr:col>
      <xdr:colOff>756824</xdr:colOff>
      <xdr:row>39</xdr:row>
      <xdr:rowOff>114415</xdr:rowOff>
    </xdr:from>
    <xdr:ext cx="1085247" cy="29747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2AFF609-8258-B664-9471-87F5D8C4A1C7}"/>
            </a:ext>
          </a:extLst>
        </xdr:cNvPr>
        <xdr:cNvSpPr txBox="1"/>
      </xdr:nvSpPr>
      <xdr:spPr>
        <a:xfrm>
          <a:off x="15584932" y="7700091"/>
          <a:ext cx="1085247" cy="2974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bg1"/>
              </a:solidFill>
            </a:rPr>
            <a:t>Total Revenue</a:t>
          </a:r>
        </a:p>
        <a:p>
          <a:endParaRPr lang="en-GB" sz="1100"/>
        </a:p>
      </xdr:txBody>
    </xdr:sp>
    <xdr:clientData/>
  </xdr:oneCellAnchor>
  <xdr:oneCellAnchor>
    <xdr:from>
      <xdr:col>18</xdr:col>
      <xdr:colOff>756824</xdr:colOff>
      <xdr:row>41</xdr:row>
      <xdr:rowOff>91532</xdr:rowOff>
    </xdr:from>
    <xdr:ext cx="1279753" cy="366125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80AA83C-2AF7-BB0B-CF10-6844B8C94812}"/>
            </a:ext>
          </a:extLst>
        </xdr:cNvPr>
        <xdr:cNvSpPr txBox="1"/>
      </xdr:nvSpPr>
      <xdr:spPr>
        <a:xfrm>
          <a:off x="15584932" y="8066217"/>
          <a:ext cx="1279753" cy="366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 b="1">
              <a:solidFill>
                <a:schemeClr val="bg1"/>
              </a:solidFill>
            </a:rPr>
            <a:t>$19,030,000</a:t>
          </a:r>
        </a:p>
        <a:p>
          <a:endParaRPr lang="en-GB" sz="1100"/>
        </a:p>
      </xdr:txBody>
    </xdr:sp>
    <xdr:clientData/>
  </xdr:oneCellAnchor>
  <xdr:oneCellAnchor>
    <xdr:from>
      <xdr:col>22</xdr:col>
      <xdr:colOff>137130</xdr:colOff>
      <xdr:row>39</xdr:row>
      <xdr:rowOff>114415</xdr:rowOff>
    </xdr:from>
    <xdr:ext cx="1085247" cy="29747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19D4A9E9-8236-46D2-62E8-FF009C4E6DE6}"/>
            </a:ext>
          </a:extLst>
        </xdr:cNvPr>
        <xdr:cNvSpPr txBox="1"/>
      </xdr:nvSpPr>
      <xdr:spPr>
        <a:xfrm>
          <a:off x="18330618" y="7601508"/>
          <a:ext cx="1085247" cy="2974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bg1"/>
              </a:solidFill>
            </a:rPr>
            <a:t>Active Users</a:t>
          </a:r>
        </a:p>
        <a:p>
          <a:endParaRPr lang="en-GB" sz="1100"/>
        </a:p>
      </xdr:txBody>
    </xdr:sp>
    <xdr:clientData/>
  </xdr:oneCellAnchor>
  <xdr:oneCellAnchor>
    <xdr:from>
      <xdr:col>22</xdr:col>
      <xdr:colOff>137130</xdr:colOff>
      <xdr:row>41</xdr:row>
      <xdr:rowOff>17695</xdr:rowOff>
    </xdr:from>
    <xdr:ext cx="1279753" cy="366125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AFB6D5BF-3BD7-733F-E4DD-AA6F5D8A93C2}"/>
            </a:ext>
          </a:extLst>
        </xdr:cNvPr>
        <xdr:cNvSpPr txBox="1"/>
      </xdr:nvSpPr>
      <xdr:spPr>
        <a:xfrm>
          <a:off x="18330618" y="7888742"/>
          <a:ext cx="1279753" cy="366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="1">
              <a:solidFill>
                <a:schemeClr val="bg1"/>
              </a:solidFill>
            </a:rPr>
            <a:t>490</a:t>
          </a:r>
          <a:endParaRPr lang="en-GB" sz="1600" b="1">
            <a:solidFill>
              <a:schemeClr val="bg1"/>
            </a:solidFill>
          </a:endParaRPr>
        </a:p>
        <a:p>
          <a:endParaRPr lang="en-GB" sz="1100"/>
        </a:p>
      </xdr:txBody>
    </xdr:sp>
    <xdr:clientData/>
  </xdr:oneCellAnchor>
  <xdr:oneCellAnchor>
    <xdr:from>
      <xdr:col>25</xdr:col>
      <xdr:colOff>125683</xdr:colOff>
      <xdr:row>39</xdr:row>
      <xdr:rowOff>114415</xdr:rowOff>
    </xdr:from>
    <xdr:ext cx="1262456" cy="328608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CE966F2-715B-9779-E85E-1F3A9F78C8CD}"/>
            </a:ext>
          </a:extLst>
        </xdr:cNvPr>
        <xdr:cNvSpPr txBox="1"/>
      </xdr:nvSpPr>
      <xdr:spPr>
        <a:xfrm>
          <a:off x="20903474" y="7601508"/>
          <a:ext cx="1262456" cy="328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bg1"/>
              </a:solidFill>
            </a:rPr>
            <a:t>New Subscribers</a:t>
          </a:r>
        </a:p>
        <a:p>
          <a:endParaRPr lang="en-GB" sz="1100"/>
        </a:p>
      </xdr:txBody>
    </xdr:sp>
    <xdr:clientData/>
  </xdr:oneCellAnchor>
  <xdr:oneCellAnchor>
    <xdr:from>
      <xdr:col>25</xdr:col>
      <xdr:colOff>125683</xdr:colOff>
      <xdr:row>41</xdr:row>
      <xdr:rowOff>17695</xdr:rowOff>
    </xdr:from>
    <xdr:ext cx="1279753" cy="366125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4888C64-16A4-FA5B-DE8C-A2BF51A25DEB}"/>
            </a:ext>
          </a:extLst>
        </xdr:cNvPr>
        <xdr:cNvSpPr txBox="1"/>
      </xdr:nvSpPr>
      <xdr:spPr>
        <a:xfrm>
          <a:off x="20903474" y="7888742"/>
          <a:ext cx="1279753" cy="366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="1">
              <a:solidFill>
                <a:schemeClr val="bg1"/>
              </a:solidFill>
            </a:rPr>
            <a:t>328</a:t>
          </a:r>
          <a:endParaRPr lang="en-GB" sz="1600" b="1">
            <a:solidFill>
              <a:schemeClr val="bg1"/>
            </a:solidFill>
          </a:endParaRPr>
        </a:p>
        <a:p>
          <a:endParaRPr lang="en-GB" sz="1100"/>
        </a:p>
      </xdr:txBody>
    </xdr:sp>
    <xdr:clientData/>
  </xdr:oneCellAnchor>
  <xdr:oneCellAnchor>
    <xdr:from>
      <xdr:col>16</xdr:col>
      <xdr:colOff>395745</xdr:colOff>
      <xdr:row>71</xdr:row>
      <xdr:rowOff>28540</xdr:rowOff>
    </xdr:from>
    <xdr:ext cx="1507067" cy="342785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B3B73FD-3A5F-9A03-EE29-21307A6149B3}"/>
            </a:ext>
          </a:extLst>
        </xdr:cNvPr>
        <xdr:cNvSpPr txBox="1"/>
      </xdr:nvSpPr>
      <xdr:spPr>
        <a:xfrm>
          <a:off x="13637992" y="13199439"/>
          <a:ext cx="1507067" cy="342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600">
              <a:solidFill>
                <a:schemeClr val="tx1">
                  <a:lumMod val="50000"/>
                  <a:lumOff val="50000"/>
                </a:schemeClr>
              </a:solidFill>
            </a:rPr>
            <a:t>Victor Akehinmi</a:t>
          </a:r>
          <a:endParaRPr lang="en-GB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oneCellAnchor>
  <xdr:oneCellAnchor>
    <xdr:from>
      <xdr:col>16</xdr:col>
      <xdr:colOff>794888</xdr:colOff>
      <xdr:row>36</xdr:row>
      <xdr:rowOff>101112</xdr:rowOff>
    </xdr:from>
    <xdr:ext cx="1507067" cy="342785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AF07341-1B63-F7D2-1B8A-9B8F2F7D96E3}"/>
            </a:ext>
          </a:extLst>
        </xdr:cNvPr>
        <xdr:cNvSpPr txBox="1"/>
      </xdr:nvSpPr>
      <xdr:spPr>
        <a:xfrm>
          <a:off x="14148031" y="7285683"/>
          <a:ext cx="1507067" cy="3427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GB" sz="1600" b="1">
              <a:solidFill>
                <a:schemeClr val="tx1"/>
              </a:solidFill>
            </a:rPr>
            <a:t>Mini Project</a:t>
          </a:r>
          <a:endParaRPr lang="en-GB" sz="1100" b="1">
            <a:solidFill>
              <a:schemeClr val="tx1"/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eking" refreshedDate="45902.99387928241" createdVersion="8" refreshedVersion="8" minRefreshableVersion="3" recordCount="489" xr:uid="{6BCA1696-EA21-5643-9238-6AB4AFB1524C}">
  <cacheSource type="worksheet">
    <worksheetSource ref="A1:S490" sheet="Customers"/>
  </cacheSource>
  <cacheFields count="22">
    <cacheField name="CustomerKey" numFmtId="0">
      <sharedItems containsString="0" containsBlank="1" containsNumber="1" containsInteger="1" minValue="11000" maxValue="13153"/>
    </cacheField>
    <cacheField name="Prefix" numFmtId="0">
      <sharedItems containsBlank="1"/>
    </cacheField>
    <cacheField name="FirstName" numFmtId="0">
      <sharedItems containsBlank="1" count="234">
        <s v="CLARENCE"/>
        <s v="ROGER"/>
        <s v="JILL"/>
        <s v="RANDY"/>
        <s v="DESIREE"/>
        <s v="WHITNEY"/>
        <s v="BROOKE"/>
        <s v="ALBERTO"/>
        <s v="MINDY"/>
        <s v="ERICA"/>
        <s v="ANNE"/>
        <s v="KRYSTAL"/>
        <s v="VINCENT"/>
        <s v="JAMES"/>
        <s v="REBECCA"/>
        <s v="ANTONIO"/>
        <s v="XAVIER"/>
        <s v="BRENDAN"/>
        <s v="DESTINY"/>
        <s v="MADALENA"/>
        <s v="KENDRA"/>
        <s v="RAFAEL"/>
        <s v="DOMINIQUE"/>
        <s v="MARC"/>
        <s v="REGINALD"/>
        <s v="COLLEEN"/>
        <s v="JEREMY"/>
        <s v="DALTON"/>
        <s v="JENNIFER"/>
        <s v="SOPHIA"/>
        <s v="HUNTER"/>
        <s v="KEVIN"/>
        <s v="KELSEY"/>
        <s v="KRISTY"/>
        <s v="VIRGINIA"/>
        <s v="TERRENCE"/>
        <s v="WILSON"/>
        <s v="TRISHA"/>
        <s v="ROY"/>
        <s v="CAMERON"/>
        <s v="ALISON"/>
        <s v="BRENDA"/>
        <s v="KATRINA"/>
        <s v="JONATHAN"/>
        <s v="RODNEY"/>
        <s v="ALEXIS"/>
        <s v="AUTUMN"/>
        <s v="DENNIS"/>
        <s v="ETHAN"/>
        <s v="JARED"/>
        <s v="BRYCE"/>
        <s v="PATRICK"/>
        <s v="MORGAN"/>
        <s v="RAMON"/>
        <s v="KEITH"/>
        <s v="EUGENE"/>
        <s v="EDUARDO"/>
        <s v="JESSICA"/>
        <s v="CARSON"/>
        <s v="OLIVIA"/>
        <s v="ALEXANDRIA"/>
        <s v="ADAM"/>
        <s v="EMMA"/>
        <s v="THOMAS"/>
        <s v="SYDNEY"/>
        <s v="GRACE"/>
        <s v="KELVIN"/>
        <s v="CRAIG"/>
        <s v="ALEJANDRO"/>
        <s v="MICHELE"/>
        <s v="EDWIN"/>
        <s v="DENISE"/>
        <s v="KRISTA"/>
        <s v="JUAN"/>
        <s v="JORDYN"/>
        <s v="LUIS"/>
        <s v="DANIEL"/>
        <s v="BLAKE"/>
        <s v="MEGAN"/>
        <s v="ELIZABETH"/>
        <s v="WAYNE"/>
        <s v="DEANNA"/>
        <s v="WILLIAM"/>
        <s v="MICHELLE"/>
        <s v="JORDAN"/>
        <s v="MIGUEL"/>
        <s v="JAY"/>
        <s v="ALEX"/>
        <s v="MARIAH"/>
        <s v="GREGORY"/>
        <s v="EBONY"/>
        <s v="MARY"/>
        <s v="CURTIS"/>
        <s v="CHERYL"/>
        <s v="HANNAH"/>
        <s v="BIANCA"/>
        <s v="BRYANT"/>
        <s v="CLAUDIA"/>
        <s v="TYRONE"/>
        <s v="EVELYN"/>
        <s v="JACLYN"/>
        <s v="LEVI"/>
        <s v="LATASHA"/>
        <s v="CATHERINE"/>
        <s v="KELLI"/>
        <s v="MARCO"/>
        <s v="LYDIA"/>
        <s v="SHANE"/>
        <s v="JOY"/>
        <s v="BRIANA"/>
        <s v="CASEY"/>
        <s v="DEVON"/>
        <s v="SARA"/>
        <s v="JOHNNY"/>
        <s v="JACQUELINE"/>
        <s v="TERESA"/>
        <s v="CARMEN"/>
        <s v="WALTER"/>
        <s v="GILBERT"/>
        <s v="GABRIELLA"/>
        <s v="CEDRIC"/>
        <s v="TYLER"/>
        <s v="LINDA"/>
        <s v="LACEY"/>
        <s v="GABRIELLE"/>
        <s v="JACK"/>
        <s v="JON"/>
        <s v="RUBEN"/>
        <s v="CHRISTY"/>
        <s v="JULIO"/>
        <s v="ROBIN"/>
        <s v="SHANNON"/>
        <s v="JACQUELYN"/>
        <s v="LAUREN"/>
        <s v="IAN"/>
        <s v="CHLOE"/>
        <s v="WYATT"/>
        <s v="LUKE"/>
        <s v="SETH"/>
        <s v="RUSSELL"/>
        <s v="HAROLD"/>
        <s v="JESSIE"/>
        <s v="JIMMY"/>
        <s v="BETHANY"/>
        <s v="THERESA"/>
        <s v="JAIME"/>
        <s v="WENDY"/>
        <s v="DIANA"/>
        <s v="JESSE"/>
        <s v="AMANDA"/>
        <s v="NATHAN"/>
        <s v="LEONARD"/>
        <s v="CHRISTINE"/>
        <s v="CAROL"/>
        <s v="ALAN"/>
        <s v="HEIDI"/>
        <s v="ANA"/>
        <s v="CARL"/>
        <s v="ASHLEE"/>
        <s v="TODD"/>
        <s v="NOAH"/>
        <s v="ANGELA"/>
        <s v="CHASE"/>
        <s v="CALEB"/>
        <s v="TIFFANY"/>
        <s v="CAROLYN"/>
        <s v="WILLIE"/>
        <s v="AMY"/>
        <s v="FELICIA"/>
        <s v="LEAH"/>
        <s v="GINA"/>
        <s v="DONALD"/>
        <s v="DAMIEN"/>
        <s v="SAVANNAH"/>
        <s v="ALYSSA"/>
        <s v="LUCAS"/>
        <s v="EMILY"/>
        <s v="RYAN"/>
        <s v="TAMARA"/>
        <s v="ABIGAIL"/>
        <s v="TREVOR"/>
        <s v="AIMEE"/>
        <s v="CHAD"/>
        <s v="ANDRÉS"/>
        <s v="MALLORY"/>
        <s v="ABBY"/>
        <s v="JULIA"/>
        <s v="CASSIE"/>
        <s v="EDGAR"/>
        <s v="CANDACE"/>
        <s v="KARI"/>
        <s v="MEREDITH"/>
        <s v="CRYSTAL"/>
        <s v="MICHEAL"/>
        <s v="LESLIE"/>
        <s v="ALVIN"/>
        <s v="CLINTON"/>
        <s v="APRIL"/>
        <s v="EVAN"/>
        <s v="ORLANDO"/>
        <s v="BYRON"/>
        <s v="PHILIP"/>
        <s v="ROSS"/>
        <s v="DANA"/>
        <s v="SHAUN"/>
        <s v="JAN"/>
        <s v="SAMANTHA"/>
        <s v="CAROLINE"/>
        <s v="MELISSA"/>
        <s v="LARRY"/>
        <s v="MARCUS"/>
        <s v="BRIANNA"/>
        <s v="JASMINE"/>
        <s v="TANYA"/>
        <s v="JAVIER"/>
        <s v="NICOLE"/>
        <s v="EDWARD"/>
        <s v="KARLA"/>
        <s v="ERNEST"/>
        <s v="THEODORE"/>
        <s v="MELINDA"/>
        <s v="MARIA"/>
        <s v="JASON"/>
        <s v="MAURICE"/>
        <s v="GABRIEL"/>
        <s v="DEVIN"/>
        <s v="JOCELYN"/>
        <s v="ASHLEY"/>
        <s v="DAVID"/>
        <s v="SARAH"/>
        <s v="NICHOLAS"/>
        <s v="MASON"/>
        <s v="JOSE"/>
        <m/>
      </sharedItems>
    </cacheField>
    <cacheField name="LastName" numFmtId="0">
      <sharedItems containsBlank="1"/>
    </cacheField>
    <cacheField name="FullName" numFmtId="0">
      <sharedItems/>
    </cacheField>
    <cacheField name="BirthDate" numFmtId="0">
      <sharedItems containsNonDate="0" containsDate="1" containsString="0" containsBlank="1" minDate="1934-05-01T00:00:00" maxDate="1980-10-27T00:00:00" count="322">
        <d v="1969-09-06T00:00:00"/>
        <d v="1967-08-22T00:00:00"/>
        <d v="1967-01-20T00:00:00"/>
        <d v="1967-05-04T00:00:00"/>
        <d v="1966-08-15T00:00:00"/>
        <d v="1966-04-21T00:00:00"/>
        <d v="1965-10-05T00:00:00"/>
        <d v="1965-07-09T00:00:00"/>
        <d v="1965-03-11T00:00:00"/>
        <d v="1965-08-16T00:00:00"/>
        <d v="1965-05-04T00:00:00"/>
        <d v="1965-09-24T00:00:00"/>
        <d v="1964-11-08T00:00:00"/>
        <d v="1968-07-13T00:00:00"/>
        <d v="1968-07-11T00:00:00"/>
        <d v="1968-07-04T00:00:00"/>
        <d v="1979-02-16T00:00:00"/>
        <d v="1944-10-11T00:00:00"/>
        <d v="1979-03-01T00:00:00"/>
        <d v="1945-05-10T00:00:00"/>
        <d v="1946-07-09T00:00:00"/>
        <d v="1947-08-24T00:00:00"/>
        <d v="1947-02-27T00:00:00"/>
        <d v="1947-03-09T00:00:00"/>
        <d v="1947-11-19T00:00:00"/>
        <d v="1948-04-15T00:00:00"/>
        <d v="1977-12-11T00:00:00"/>
        <d v="1977-09-17T00:00:00"/>
        <d v="1977-09-05T00:00:00"/>
        <d v="1977-07-13T00:00:00"/>
        <d v="1977-02-16T00:00:00"/>
        <d v="1977-04-09T00:00:00"/>
        <d v="1976-11-20T00:00:00"/>
        <d v="1949-02-27T00:00:00"/>
        <d v="1950-11-03T00:00:00"/>
        <d v="1950-02-03T00:00:00"/>
        <d v="1950-04-26T00:00:00"/>
        <d v="1950-02-01T00:00:00"/>
        <d v="1980-08-20T00:00:00"/>
        <d v="1951-09-20T00:00:00"/>
        <d v="1951-11-05T00:00:00"/>
        <d v="1951-09-21T00:00:00"/>
        <d v="1952-04-25T00:00:00"/>
        <d v="1952-01-23T00:00:00"/>
        <d v="1952-11-13T00:00:00"/>
        <d v="1952-10-05T00:00:00"/>
        <d v="1952-09-02T00:00:00"/>
        <d v="1952-06-26T00:00:00"/>
        <d v="1953-07-06T00:00:00"/>
        <d v="1953-12-19T00:00:00"/>
        <d v="1954-11-27T00:00:00"/>
        <d v="1975-11-11T00:00:00"/>
        <d v="1975-05-16T00:00:00"/>
        <d v="1975-09-17T00:00:00"/>
        <d v="1975-10-19T00:00:00"/>
        <d v="1975-09-23T00:00:00"/>
        <d v="1975-06-21T00:00:00"/>
        <d v="1975-08-16T00:00:00"/>
        <d v="1975-02-15T00:00:00"/>
        <d v="1975-06-09T00:00:00"/>
        <d v="1974-06-01T00:00:00"/>
        <d v="1974-07-09T00:00:00"/>
        <d v="1974-03-14T00:00:00"/>
        <d v="1974-03-17T00:00:00"/>
        <d v="1974-04-21T00:00:00"/>
        <d v="1974-09-25T00:00:00"/>
        <d v="1974-11-25T00:00:00"/>
        <d v="1974-02-18T00:00:00"/>
        <d v="1974-08-19T00:00:00"/>
        <d v="1973-10-18T00:00:00"/>
        <d v="1973-05-11T00:00:00"/>
        <d v="1973-11-02T00:00:00"/>
        <d v="1976-01-12T00:00:00"/>
        <d v="1976-09-12T00:00:00"/>
        <d v="1955-04-11T00:00:00"/>
        <d v="1955-03-03T00:00:00"/>
        <d v="1956-05-24T00:00:00"/>
        <d v="1956-01-22T00:00:00"/>
        <d v="1957-02-26T00:00:00"/>
        <d v="1957-05-18T00:00:00"/>
        <d v="1957-03-24T00:00:00"/>
        <d v="1958-02-24T00:00:00"/>
        <d v="1973-02-26T00:00:00"/>
        <d v="1974-10-14T00:00:00"/>
        <d v="1974-03-19T00:00:00"/>
        <d v="1974-05-20T00:00:00"/>
        <d v="1974-11-08T00:00:00"/>
        <d v="1974-02-23T00:00:00"/>
        <d v="1959-09-01T00:00:00"/>
        <d v="1959-06-01T00:00:00"/>
        <d v="1959-08-11T00:00:00"/>
        <d v="1966-11-04T00:00:00"/>
        <d v="1957-10-15T00:00:00"/>
        <d v="1957-03-23T00:00:00"/>
        <d v="1957-07-24T00:00:00"/>
        <d v="1957-10-20T00:00:00"/>
        <d v="1957-05-14T00:00:00"/>
        <d v="1957-10-07T00:00:00"/>
        <d v="1957-08-04T00:00:00"/>
        <d v="1957-07-16T00:00:00"/>
        <d v="1957-09-19T00:00:00"/>
        <d v="1963-08-02T00:00:00"/>
        <d v="1963-04-12T00:00:00"/>
        <d v="1962-07-02T00:00:00"/>
        <d v="1962-07-08T00:00:00"/>
        <d v="1962-07-11T00:00:00"/>
        <d v="1962-12-26T00:00:00"/>
        <d v="1962-08-12T00:00:00"/>
        <d v="1961-08-16T00:00:00"/>
        <d v="1961-07-23T00:00:00"/>
        <d v="1966-07-14T00:00:00"/>
        <d v="1966-05-01T00:00:00"/>
        <d v="1966-09-27T00:00:00"/>
        <d v="1966-05-08T00:00:00"/>
        <d v="1966-01-11T00:00:00"/>
        <d v="1960-07-08T00:00:00"/>
        <d v="1965-11-10T00:00:00"/>
        <d v="1965-03-22T00:00:00"/>
        <d v="1965-08-02T00:00:00"/>
        <d v="1964-05-04T00:00:00"/>
        <d v="1964-03-01T00:00:00"/>
        <d v="1964-07-08T00:00:00"/>
        <d v="1964-02-04T00:00:00"/>
        <d v="1964-12-10T00:00:00"/>
        <d v="1964-04-23T00:00:00"/>
        <d v="1964-06-01T00:00:00"/>
        <d v="1959-10-26T00:00:00"/>
        <d v="1959-02-21T00:00:00"/>
        <d v="1959-08-19T00:00:00"/>
        <d v="1934-05-01T00:00:00"/>
        <d v="1957-08-03T00:00:00"/>
        <d v="1936-11-12T00:00:00"/>
        <d v="1960-02-09T00:00:00"/>
        <d v="1960-06-11T00:00:00"/>
        <d v="1956-02-09T00:00:00"/>
        <d v="1953-10-08T00:00:00"/>
        <d v="1975-03-23T00:00:00"/>
        <d v="1975-02-06T00:00:00"/>
        <d v="1976-08-27T00:00:00"/>
        <d v="1976-01-22T00:00:00"/>
        <d v="1976-05-15T00:00:00"/>
        <d v="1980-08-23T00:00:00"/>
        <d v="1980-04-01T00:00:00"/>
        <d v="1946-02-18T00:00:00"/>
        <d v="1937-06-10T00:00:00"/>
        <d v="1978-12-06T00:00:00"/>
        <d v="1978-02-16T00:00:00"/>
        <d v="1979-10-18T00:00:00"/>
        <d v="1966-04-08T00:00:00"/>
        <d v="1965-05-14T00:00:00"/>
        <d v="1965-08-12T00:00:00"/>
        <d v="1968-02-15T00:00:00"/>
        <d v="1968-08-08T00:00:00"/>
        <d v="1965-08-05T00:00:00"/>
        <d v="1964-05-09T00:00:00"/>
        <d v="1964-07-07T00:00:00"/>
        <d v="1964-04-01T00:00:00"/>
        <d v="1964-02-06T00:00:00"/>
        <d v="1963-11-04T00:00:00"/>
        <d v="1968-01-18T00:00:00"/>
        <d v="1968-08-06T00:00:00"/>
        <d v="1968-05-09T00:00:00"/>
        <d v="1979-02-27T00:00:00"/>
        <d v="1979-04-28T00:00:00"/>
        <d v="1944-06-26T00:00:00"/>
        <d v="1944-10-09T00:00:00"/>
        <d v="1978-03-07T00:00:00"/>
        <d v="1978-09-20T00:00:00"/>
        <d v="1978-09-03T00:00:00"/>
        <d v="1978-10-12T00:00:00"/>
        <d v="1978-10-11T00:00:00"/>
        <d v="1978-09-17T00:00:00"/>
        <d v="1945-12-23T00:00:00"/>
        <d v="1946-04-03T00:00:00"/>
        <d v="1946-12-07T00:00:00"/>
        <d v="1946-04-11T00:00:00"/>
        <d v="1946-12-21T00:00:00"/>
        <d v="1947-02-22T00:00:00"/>
        <d v="1947-08-22T00:00:00"/>
        <d v="1947-06-11T00:00:00"/>
        <d v="1947-09-23T00:00:00"/>
        <d v="1947-06-19T00:00:00"/>
        <d v="1948-02-24T00:00:00"/>
        <d v="1978-12-18T00:00:00"/>
        <d v="1977-11-27T00:00:00"/>
        <d v="1948-03-23T00:00:00"/>
        <d v="1948-12-17T00:00:00"/>
        <d v="1977-08-01T00:00:00"/>
        <d v="1977-10-16T00:00:00"/>
        <d v="1977-06-13T00:00:00"/>
        <d v="1976-02-24T00:00:00"/>
        <d v="1949-05-24T00:00:00"/>
        <d v="1950-05-19T00:00:00"/>
        <d v="1950-03-22T00:00:00"/>
        <d v="1950-02-27T00:00:00"/>
        <d v="1950-11-22T00:00:00"/>
        <d v="1980-07-18T00:00:00"/>
        <d v="1951-09-07T00:00:00"/>
        <d v="1951-08-04T00:00:00"/>
        <d v="1951-08-07T00:00:00"/>
        <d v="1952-03-10T00:00:00"/>
        <d v="1952-03-05T00:00:00"/>
        <d v="1953-04-03T00:00:00"/>
        <d v="1953-10-12T00:00:00"/>
        <d v="1954-04-27T00:00:00"/>
        <d v="1954-04-01T00:00:00"/>
        <d v="1954-03-17T00:00:00"/>
        <d v="1954-02-27T00:00:00"/>
        <d v="1975-09-02T00:00:00"/>
        <d v="1975-04-07T00:00:00"/>
        <d v="1975-12-07T00:00:00"/>
        <d v="1973-10-09T00:00:00"/>
        <d v="1973-11-27T00:00:00"/>
        <d v="1976-09-25T00:00:00"/>
        <d v="1955-09-23T00:00:00"/>
        <d v="1955-09-21T00:00:00"/>
        <d v="1955-04-05T00:00:00"/>
        <d v="1955-06-26T00:00:00"/>
        <d v="1955-02-06T00:00:00"/>
        <d v="1956-08-14T00:00:00"/>
        <d v="1956-08-28T00:00:00"/>
        <d v="1957-11-16T00:00:00"/>
        <d v="1957-07-13T00:00:00"/>
        <d v="1974-01-10T00:00:00"/>
        <d v="1959-03-11T00:00:00"/>
        <d v="1959-07-17T00:00:00"/>
        <d v="1966-07-24T00:00:00"/>
        <d v="1966-08-04T00:00:00"/>
        <d v="1966-03-15T00:00:00"/>
        <d v="1957-09-12T00:00:00"/>
        <d v="1957-07-19T00:00:00"/>
        <d v="1957-12-23T00:00:00"/>
        <d v="1957-10-03T00:00:00"/>
        <d v="1957-02-05T00:00:00"/>
        <d v="1957-12-17T00:00:00"/>
        <d v="1957-04-04T00:00:00"/>
        <d v="1967-05-06T00:00:00"/>
        <d v="1967-09-10T00:00:00"/>
        <d v="1962-04-01T00:00:00"/>
        <d v="1962-09-01T00:00:00"/>
        <d v="1962-08-10T00:00:00"/>
        <d v="1961-10-27T00:00:00"/>
        <d v="1961-05-01T00:00:00"/>
        <d v="1961-03-08T00:00:00"/>
        <d v="1960-09-15T00:00:00"/>
        <d v="1965-05-08T00:00:00"/>
        <d v="1965-04-21T00:00:00"/>
        <d v="1964-10-17T00:00:00"/>
        <d v="1964-03-11T00:00:00"/>
        <d v="1964-12-28T00:00:00"/>
        <d v="1964-09-11T00:00:00"/>
        <d v="1959-09-09T00:00:00"/>
        <d v="1963-07-14T00:00:00"/>
        <d v="1963-11-05T00:00:00"/>
        <d v="1962-06-06T00:00:00"/>
        <d v="1962-02-23T00:00:00"/>
        <d v="1962-09-09T00:00:00"/>
        <d v="1962-02-21T00:00:00"/>
        <d v="1962-05-28T00:00:00"/>
        <d v="1962-02-12T00:00:00"/>
        <d v="1962-10-07T00:00:00"/>
        <d v="1961-02-21T00:00:00"/>
        <d v="1957-07-03T00:00:00"/>
        <d v="1935-04-10T00:00:00"/>
        <d v="1960-11-18T00:00:00"/>
        <d v="1960-04-02T00:00:00"/>
        <d v="1960-06-20T00:00:00"/>
        <d v="1957-07-27T00:00:00"/>
        <d v="1956-04-08T00:00:00"/>
        <d v="1949-04-07T00:00:00"/>
        <d v="1975-10-21T00:00:00"/>
        <d v="1975-12-05T00:00:00"/>
        <d v="1975-08-05T00:00:00"/>
        <d v="1980-01-06T00:00:00"/>
        <d v="1980-03-12T00:00:00"/>
        <d v="1980-10-26T00:00:00"/>
        <d v="1980-09-08T00:00:00"/>
        <d v="1946-02-26T00:00:00"/>
        <d v="1979-11-03T00:00:00"/>
        <d v="1978-10-26T00:00:00"/>
        <d v="1978-07-20T00:00:00"/>
        <d v="1978-09-15T00:00:00"/>
        <d v="1938-11-09T00:00:00"/>
        <d v="1977-02-11T00:00:00"/>
        <d v="1977-06-21T00:00:00"/>
        <d v="1977-08-14T00:00:00"/>
        <d v="1977-02-04T00:00:00"/>
        <d v="1979-09-09T00:00:00"/>
        <d v="1979-12-08T00:00:00"/>
        <d v="1939-08-26T00:00:00"/>
        <d v="1939-02-05T00:00:00"/>
        <d v="1941-08-16T00:00:00"/>
        <d v="1941-04-20T00:00:00"/>
        <d v="1941-03-15T00:00:00"/>
        <d v="1942-02-25T00:00:00"/>
        <d v="1976-01-10T00:00:00"/>
        <d v="1976-06-23T00:00:00"/>
        <d v="1976-08-21T00:00:00"/>
        <d v="1976-01-26T00:00:00"/>
        <d v="1976-02-07T00:00:00"/>
        <d v="1975-06-11T00:00:00"/>
        <d v="1975-10-08T00:00:00"/>
        <d v="1974-01-08T00:00:00"/>
        <d v="1974-04-22T00:00:00"/>
        <d v="1974-03-05T00:00:00"/>
        <d v="1974-12-20T00:00:00"/>
        <d v="1974-05-05T00:00:00"/>
        <d v="1973-07-18T00:00:00"/>
        <d v="1972-04-24T00:00:00"/>
        <d v="1972-08-01T00:00:00"/>
        <d v="1968-05-15T00:00:00"/>
        <d v="1968-06-22T00:00:00"/>
        <d v="1968-02-05T00:00:00"/>
        <d v="1967-10-09T00:00:00"/>
        <d v="1967-11-21T00:00:00"/>
        <d v="1967-09-01T00:00:00"/>
        <d v="1967-07-13T00:00:00"/>
        <d v="1963-03-05T00:00:00"/>
        <d v="1968-01-25T00:00:00"/>
        <d v="1942-07-04T00:00:00"/>
        <d v="1943-08-24T00:00:00"/>
        <m/>
      </sharedItems>
      <fieldGroup par="21"/>
    </cacheField>
    <cacheField name="Year of Birth" numFmtId="0">
      <sharedItems containsString="0" containsBlank="1" containsNumber="1" containsInteger="1" minValue="1934" maxValue="1980"/>
    </cacheField>
    <cacheField name="MaritalStatus" numFmtId="0">
      <sharedItems containsBlank="1" count="3">
        <s v="S"/>
        <s v="M"/>
        <m/>
      </sharedItems>
    </cacheField>
    <cacheField name="Marital Status Full" numFmtId="0">
      <sharedItems containsBlank="1" count="3">
        <s v="Single"/>
        <s v="Married"/>
        <m/>
      </sharedItems>
    </cacheField>
    <cacheField name="Gender" numFmtId="0">
      <sharedItems containsBlank="1" count="4">
        <s v="M"/>
        <s v="F"/>
        <s v="NA"/>
        <m/>
      </sharedItems>
    </cacheField>
    <cacheField name="Gender Full" numFmtId="0">
      <sharedItems containsBlank="1" count="3">
        <s v="Male"/>
        <s v="Female"/>
        <m/>
      </sharedItems>
    </cacheField>
    <cacheField name="EmailAddress" numFmtId="0">
      <sharedItems containsBlank="1"/>
    </cacheField>
    <cacheField name="Username" numFmtId="0">
      <sharedItems containsBlank="1"/>
    </cacheField>
    <cacheField name="AnnualIncome" numFmtId="164">
      <sharedItems containsString="0" containsBlank="1" containsNumber="1" containsInteger="1" minValue="10000" maxValue="170000" count="16">
        <n v="130000"/>
        <n v="80000"/>
        <n v="90000"/>
        <n v="60000"/>
        <n v="70000"/>
        <n v="100000"/>
        <n v="110000"/>
        <n v="30000"/>
        <n v="10000"/>
        <n v="20000"/>
        <n v="40000"/>
        <n v="120000"/>
        <n v="50000"/>
        <n v="160000"/>
        <n v="170000"/>
        <m/>
      </sharedItems>
    </cacheField>
    <cacheField name="Wealth Category" numFmtId="0">
      <sharedItems containsBlank="1" count="5">
        <s v="Rich"/>
        <s v="Average"/>
        <s v="Poor"/>
        <s v="Wealthy"/>
        <m/>
      </sharedItems>
    </cacheField>
    <cacheField name="TotalChildren" numFmtId="0">
      <sharedItems containsString="0" containsBlank="1" containsNumber="1" containsInteger="1" minValue="0" maxValue="5" count="7">
        <n v="1"/>
        <n v="5"/>
        <n v="0"/>
        <n v="2"/>
        <n v="3"/>
        <n v="4"/>
        <m/>
      </sharedItems>
    </cacheField>
    <cacheField name="EducationLevel" numFmtId="0">
      <sharedItems containsBlank="1"/>
    </cacheField>
    <cacheField name="Occupation" numFmtId="0">
      <sharedItems containsBlank="1" count="5">
        <s v="Management"/>
        <s v="Professional"/>
        <s v="Skilled Manual"/>
        <s v="Clerical"/>
        <m/>
      </sharedItems>
    </cacheField>
    <cacheField name="HomeOwner" numFmtId="0">
      <sharedItems containsBlank="1" count="3">
        <s v="Y"/>
        <s v="N"/>
        <m/>
      </sharedItems>
    </cacheField>
    <cacheField name="Months (BirthDate)" numFmtId="0" databaseField="0">
      <fieldGroup base="5">
        <rangePr groupBy="months" startDate="1934-05-01T00:00:00" endDate="1980-10-27T00:00:00"/>
        <groupItems count="14">
          <s v="&lt;01.05.193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.10.1980"/>
        </groupItems>
      </fieldGroup>
    </cacheField>
    <cacheField name="Quarters (BirthDate)" numFmtId="0" databaseField="0">
      <fieldGroup base="5">
        <rangePr groupBy="quarters" startDate="1934-05-01T00:00:00" endDate="1980-10-27T00:00:00"/>
        <groupItems count="6">
          <s v="&lt;01.05.1934"/>
          <s v="Qtr1"/>
          <s v="Qtr2"/>
          <s v="Qtr3"/>
          <s v="Qtr4"/>
          <s v="&gt;27.10.1980"/>
        </groupItems>
      </fieldGroup>
    </cacheField>
    <cacheField name="Years (BirthDate)" numFmtId="0" databaseField="0">
      <fieldGroup base="5">
        <rangePr groupBy="years" startDate="1934-05-01T00:00:00" endDate="1980-10-27T00:00:00"/>
        <groupItems count="49">
          <s v="&lt;01.05.1934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&gt;27.10.198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9">
  <r>
    <n v="13001"/>
    <s v="MR."/>
    <x v="0"/>
    <s v="ZHANG"/>
    <s v="MR. CLARENCE ZHANG"/>
    <x v="0"/>
    <n v="1969"/>
    <x v="0"/>
    <x v="0"/>
    <x v="0"/>
    <x v="0"/>
    <s v="clarence37@adventure-works.com"/>
    <s v="clarence37"/>
    <x v="0"/>
    <x v="0"/>
    <x v="0"/>
    <s v="Graduate Degree"/>
    <x v="0"/>
    <x v="0"/>
  </r>
  <r>
    <n v="13002"/>
    <s v="MR."/>
    <x v="1"/>
    <s v="CAI"/>
    <s v="MR. ROGER CAI"/>
    <x v="1"/>
    <n v="1967"/>
    <x v="1"/>
    <x v="1"/>
    <x v="0"/>
    <x v="0"/>
    <s v="roger25@adventure-works.com"/>
    <s v="roger25"/>
    <x v="1"/>
    <x v="1"/>
    <x v="1"/>
    <s v="Graduate Degree"/>
    <x v="0"/>
    <x v="1"/>
  </r>
  <r>
    <n v="13003"/>
    <s v="MRS."/>
    <x v="2"/>
    <s v="HERNANDEZ"/>
    <s v="MRS. JILL HERNANDEZ"/>
    <x v="2"/>
    <n v="1967"/>
    <x v="1"/>
    <x v="1"/>
    <x v="1"/>
    <x v="1"/>
    <s v="jill11@adventure-works.com"/>
    <s v="jill11"/>
    <x v="1"/>
    <x v="1"/>
    <x v="1"/>
    <s v="Graduate Degree"/>
    <x v="0"/>
    <x v="0"/>
  </r>
  <r>
    <n v="13004"/>
    <s v="MR."/>
    <x v="3"/>
    <s v="CHEN"/>
    <s v="MR. RANDY CHEN"/>
    <x v="3"/>
    <n v="1967"/>
    <x v="1"/>
    <x v="1"/>
    <x v="0"/>
    <x v="0"/>
    <s v="randy4@adventure-works.com"/>
    <s v="randy4"/>
    <x v="1"/>
    <x v="1"/>
    <x v="1"/>
    <s v="Graduate Degree"/>
    <x v="0"/>
    <x v="1"/>
  </r>
  <r>
    <n v="13005"/>
    <s v="MRS."/>
    <x v="4"/>
    <s v="ALVAREZ"/>
    <s v="MRS. DESIREE ALVAREZ"/>
    <x v="4"/>
    <n v="1966"/>
    <x v="1"/>
    <x v="1"/>
    <x v="1"/>
    <x v="1"/>
    <s v="desiree0@adventure-works.com"/>
    <s v="desiree0"/>
    <x v="1"/>
    <x v="1"/>
    <x v="1"/>
    <s v="Graduate Degree"/>
    <x v="0"/>
    <x v="1"/>
  </r>
  <r>
    <n v="13006"/>
    <s v="MS."/>
    <x v="5"/>
    <s v="RANA"/>
    <s v="MS. WHITNEY RANA"/>
    <x v="5"/>
    <n v="1966"/>
    <x v="0"/>
    <x v="0"/>
    <x v="1"/>
    <x v="1"/>
    <s v="whitney10@adventure-works.com"/>
    <s v="whitney10"/>
    <x v="2"/>
    <x v="1"/>
    <x v="2"/>
    <s v="Bachelors"/>
    <x v="1"/>
    <x v="1"/>
  </r>
  <r>
    <n v="13007"/>
    <s v="MRS."/>
    <x v="6"/>
    <s v="WARD"/>
    <s v="MRS. BROOKE WARD"/>
    <x v="6"/>
    <n v="1965"/>
    <x v="0"/>
    <x v="0"/>
    <x v="1"/>
    <x v="1"/>
    <s v="brooke11@adventure-works.com"/>
    <s v="brooke11"/>
    <x v="3"/>
    <x v="1"/>
    <x v="3"/>
    <s v="Bachelors"/>
    <x v="1"/>
    <x v="1"/>
  </r>
  <r>
    <n v="13008"/>
    <s v="MR."/>
    <x v="7"/>
    <s v="MUÑOZ"/>
    <s v="MR. ALBERTO MUÑOZ"/>
    <x v="7"/>
    <n v="1965"/>
    <x v="1"/>
    <x v="1"/>
    <x v="0"/>
    <x v="0"/>
    <s v="alberto8@adventure-works.com"/>
    <s v="alberto8"/>
    <x v="3"/>
    <x v="1"/>
    <x v="4"/>
    <s v="Bachelors"/>
    <x v="1"/>
    <x v="0"/>
  </r>
  <r>
    <n v="13009"/>
    <s v="MRS."/>
    <x v="8"/>
    <s v="SHE"/>
    <s v="MRS. MINDY SHE"/>
    <x v="8"/>
    <n v="1965"/>
    <x v="1"/>
    <x v="1"/>
    <x v="1"/>
    <x v="1"/>
    <s v="mindy4@adventure-works.com"/>
    <s v="mindy4"/>
    <x v="3"/>
    <x v="1"/>
    <x v="4"/>
    <s v="Bachelors"/>
    <x v="1"/>
    <x v="0"/>
  </r>
  <r>
    <n v="13010"/>
    <s v="MRS."/>
    <x v="9"/>
    <s v="YE"/>
    <s v="MRS. ERICA YE"/>
    <x v="9"/>
    <n v="1965"/>
    <x v="1"/>
    <x v="1"/>
    <x v="1"/>
    <x v="1"/>
    <s v="erica9@adventure-works.com"/>
    <s v="erica9"/>
    <x v="3"/>
    <x v="1"/>
    <x v="4"/>
    <s v="Bachelors"/>
    <x v="1"/>
    <x v="0"/>
  </r>
  <r>
    <n v="13011"/>
    <s v="MS."/>
    <x v="10"/>
    <s v="ORTEGA"/>
    <s v="MS. ANNE ORTEGA"/>
    <x v="10"/>
    <n v="1965"/>
    <x v="0"/>
    <x v="0"/>
    <x v="1"/>
    <x v="1"/>
    <s v="anne22@adventure-works.com"/>
    <s v="anne22"/>
    <x v="4"/>
    <x v="1"/>
    <x v="2"/>
    <s v="Bachelors"/>
    <x v="1"/>
    <x v="1"/>
  </r>
  <r>
    <n v="13012"/>
    <s v="MS."/>
    <x v="11"/>
    <s v="HU"/>
    <s v="MS. KRYSTAL HU"/>
    <x v="11"/>
    <n v="1965"/>
    <x v="0"/>
    <x v="0"/>
    <x v="1"/>
    <x v="1"/>
    <s v="krystal20@adventure-works.com"/>
    <s v="krystal20"/>
    <x v="4"/>
    <x v="1"/>
    <x v="2"/>
    <s v="Bachelors"/>
    <x v="1"/>
    <x v="1"/>
  </r>
  <r>
    <n v="13013"/>
    <s v="MR."/>
    <x v="12"/>
    <s v="YE"/>
    <s v="MR. VINCENT YE"/>
    <x v="12"/>
    <n v="1964"/>
    <x v="1"/>
    <x v="1"/>
    <x v="0"/>
    <x v="0"/>
    <s v="vincent9@adventure-works.com"/>
    <s v="vincent9"/>
    <x v="3"/>
    <x v="1"/>
    <x v="5"/>
    <s v="Bachelors"/>
    <x v="1"/>
    <x v="1"/>
  </r>
  <r>
    <n v="13014"/>
    <s v="MR."/>
    <x v="13"/>
    <s v="CLARK"/>
    <s v="MR. JAMES CLARK"/>
    <x v="13"/>
    <n v="1968"/>
    <x v="1"/>
    <x v="1"/>
    <x v="0"/>
    <x v="0"/>
    <s v="james92@adventure-works.com"/>
    <s v="james92"/>
    <x v="5"/>
    <x v="0"/>
    <x v="3"/>
    <s v="Bachelors"/>
    <x v="0"/>
    <x v="0"/>
  </r>
  <r>
    <n v="13015"/>
    <s v="MRS."/>
    <x v="14"/>
    <s v="PARKER"/>
    <s v="MRS. REBECCA PARKER"/>
    <x v="14"/>
    <n v="1968"/>
    <x v="0"/>
    <x v="0"/>
    <x v="1"/>
    <x v="1"/>
    <s v="rebecca10@adventure-works.com"/>
    <s v="rebecca10"/>
    <x v="5"/>
    <x v="0"/>
    <x v="3"/>
    <s v="Bachelors"/>
    <x v="0"/>
    <x v="1"/>
  </r>
  <r>
    <n v="13016"/>
    <s v="MR."/>
    <x v="15"/>
    <s v="BRYANT"/>
    <s v="MR. ANTONIO BRYANT"/>
    <x v="15"/>
    <n v="1968"/>
    <x v="1"/>
    <x v="1"/>
    <x v="0"/>
    <x v="0"/>
    <s v="antonio18@adventure-works.com"/>
    <s v="antonio18"/>
    <x v="6"/>
    <x v="0"/>
    <x v="0"/>
    <s v="Graduate Degree"/>
    <x v="0"/>
    <x v="0"/>
  </r>
  <r>
    <n v="13017"/>
    <s v="MR."/>
    <x v="16"/>
    <s v="ALEXANDER"/>
    <s v="MR. XAVIER ALEXANDER"/>
    <x v="16"/>
    <n v="1979"/>
    <x v="1"/>
    <x v="1"/>
    <x v="0"/>
    <x v="0"/>
    <s v="xavier59@adventure-works.com"/>
    <s v="xavier59"/>
    <x v="7"/>
    <x v="2"/>
    <x v="2"/>
    <s v="Partial College"/>
    <x v="2"/>
    <x v="0"/>
  </r>
  <r>
    <n v="13018"/>
    <s v="MR."/>
    <x v="17"/>
    <s v="XIE"/>
    <s v="MR. BRENDAN XIE"/>
    <x v="17"/>
    <n v="1944"/>
    <x v="1"/>
    <x v="1"/>
    <x v="0"/>
    <x v="0"/>
    <s v="brendan3@adventure-works.com"/>
    <s v="brendan3"/>
    <x v="8"/>
    <x v="2"/>
    <x v="1"/>
    <s v="High School"/>
    <x v="2"/>
    <x v="0"/>
  </r>
  <r>
    <n v="13019"/>
    <s v="MS."/>
    <x v="18"/>
    <s v="MURPHY"/>
    <s v="MS. DESTINY MURPHY"/>
    <x v="18"/>
    <n v="1979"/>
    <x v="0"/>
    <x v="0"/>
    <x v="1"/>
    <x v="1"/>
    <s v="destiny31@adventure-works.com"/>
    <s v="destiny31"/>
    <x v="3"/>
    <x v="1"/>
    <x v="2"/>
    <s v="Partial College"/>
    <x v="2"/>
    <x v="0"/>
  </r>
  <r>
    <n v="13020"/>
    <s v="MR."/>
    <x v="19"/>
    <s v="SANCHEZ"/>
    <s v="MR. MADALENA SANCHEZ"/>
    <x v="19"/>
    <n v="1945"/>
    <x v="1"/>
    <x v="1"/>
    <x v="0"/>
    <x v="0"/>
    <s v="madalena0@adventure-works.com"/>
    <s v="madalena0"/>
    <x v="8"/>
    <x v="2"/>
    <x v="3"/>
    <s v="Partial High School"/>
    <x v="3"/>
    <x v="0"/>
  </r>
  <r>
    <n v="13021"/>
    <s v="MRS."/>
    <x v="20"/>
    <s v="DIAZ"/>
    <s v="MRS. KENDRA DIAZ"/>
    <x v="20"/>
    <n v="1946"/>
    <x v="0"/>
    <x v="0"/>
    <x v="1"/>
    <x v="1"/>
    <s v="kendra3@adventure-works.com"/>
    <s v="kendra3"/>
    <x v="7"/>
    <x v="2"/>
    <x v="3"/>
    <s v="Partial College"/>
    <x v="3"/>
    <x v="0"/>
  </r>
  <r>
    <n v="13022"/>
    <s v="MR."/>
    <x v="21"/>
    <s v="MA"/>
    <s v="MR. RAFAEL MA"/>
    <x v="21"/>
    <n v="1947"/>
    <x v="1"/>
    <x v="1"/>
    <x v="0"/>
    <x v="0"/>
    <s v="rafael17@adventure-works.com"/>
    <s v="rafael17"/>
    <x v="8"/>
    <x v="2"/>
    <x v="3"/>
    <s v="Partial High School"/>
    <x v="3"/>
    <x v="0"/>
  </r>
  <r>
    <n v="13023"/>
    <s v="MRS."/>
    <x v="22"/>
    <s v="RAMAN"/>
    <s v="MRS. DOMINIQUE RAMAN"/>
    <x v="22"/>
    <n v="1947"/>
    <x v="0"/>
    <x v="0"/>
    <x v="1"/>
    <x v="1"/>
    <s v="dominique9@adventure-works.com"/>
    <s v="dominique9"/>
    <x v="9"/>
    <x v="2"/>
    <x v="5"/>
    <s v="High School"/>
    <x v="2"/>
    <x v="0"/>
  </r>
  <r>
    <n v="13024"/>
    <s v="MR."/>
    <x v="23"/>
    <s v="MORENO"/>
    <s v="MR. MARC MORENO"/>
    <x v="23"/>
    <n v="1947"/>
    <x v="1"/>
    <x v="1"/>
    <x v="0"/>
    <x v="0"/>
    <s v="marc10@adventure-works.com"/>
    <s v="marc10"/>
    <x v="7"/>
    <x v="2"/>
    <x v="3"/>
    <s v="Partial College"/>
    <x v="3"/>
    <x v="1"/>
  </r>
  <r>
    <n v="13025"/>
    <s v="MR."/>
    <x v="24"/>
    <s v="SERRANO"/>
    <s v="MR. REGINALD SERRANO"/>
    <x v="24"/>
    <n v="1947"/>
    <x v="1"/>
    <x v="1"/>
    <x v="0"/>
    <x v="0"/>
    <s v="reginald2@adventure-works.com"/>
    <s v="reginald2"/>
    <x v="7"/>
    <x v="2"/>
    <x v="3"/>
    <s v="Partial College"/>
    <x v="3"/>
    <x v="1"/>
  </r>
  <r>
    <n v="13026"/>
    <s v="MRS."/>
    <x v="25"/>
    <s v="ZHENG"/>
    <s v="MRS. COLLEEN ZHENG"/>
    <x v="25"/>
    <n v="1948"/>
    <x v="0"/>
    <x v="0"/>
    <x v="1"/>
    <x v="1"/>
    <s v="colleen20@adventure-works.com"/>
    <s v="colleen20"/>
    <x v="8"/>
    <x v="2"/>
    <x v="3"/>
    <s v="Partial High School"/>
    <x v="3"/>
    <x v="0"/>
  </r>
  <r>
    <n v="13027"/>
    <s v="MR."/>
    <x v="26"/>
    <s v="PATTERSON"/>
    <s v="MR. JEREMY PATTERSON"/>
    <x v="26"/>
    <n v="1977"/>
    <x v="0"/>
    <x v="0"/>
    <x v="0"/>
    <x v="0"/>
    <s v="jeremy27@adventure-works.com"/>
    <s v="jeremy27"/>
    <x v="10"/>
    <x v="2"/>
    <x v="2"/>
    <s v="Partial High School"/>
    <x v="3"/>
    <x v="0"/>
  </r>
  <r>
    <n v="13028"/>
    <s v="MR."/>
    <x v="27"/>
    <s v="THOMPSON"/>
    <s v="MR. DALTON THOMPSON"/>
    <x v="27"/>
    <n v="1977"/>
    <x v="0"/>
    <x v="0"/>
    <x v="0"/>
    <x v="0"/>
    <s v="dalton14@adventure-works.com"/>
    <s v="dalton14"/>
    <x v="7"/>
    <x v="2"/>
    <x v="2"/>
    <s v="Partial College"/>
    <x v="2"/>
    <x v="0"/>
  </r>
  <r>
    <n v="13029"/>
    <s v="MS."/>
    <x v="28"/>
    <s v="FOSTER"/>
    <s v="MS. JENNIFER FOSTER"/>
    <x v="28"/>
    <n v="1977"/>
    <x v="0"/>
    <x v="0"/>
    <x v="1"/>
    <x v="1"/>
    <s v="jennifer89@adventure-works.com"/>
    <s v="jennifer89"/>
    <x v="7"/>
    <x v="2"/>
    <x v="2"/>
    <s v="Partial College"/>
    <x v="2"/>
    <x v="1"/>
  </r>
  <r>
    <n v="13030"/>
    <s v="MS."/>
    <x v="29"/>
    <s v="LOPEZ"/>
    <s v="MS. SOPHIA LOPEZ"/>
    <x v="29"/>
    <n v="1977"/>
    <x v="0"/>
    <x v="0"/>
    <x v="1"/>
    <x v="1"/>
    <s v="sophia19@adventure-works.com"/>
    <s v="sophia19"/>
    <x v="3"/>
    <x v="1"/>
    <x v="2"/>
    <s v="Partial College"/>
    <x v="2"/>
    <x v="0"/>
  </r>
  <r>
    <n v="13031"/>
    <s v="MR."/>
    <x v="30"/>
    <s v="SHAN"/>
    <s v="MR. HUNTER SHAN"/>
    <x v="30"/>
    <n v="1977"/>
    <x v="0"/>
    <x v="0"/>
    <x v="0"/>
    <x v="0"/>
    <s v="hunter26@adventure-works.com"/>
    <s v="hunter26"/>
    <x v="3"/>
    <x v="1"/>
    <x v="2"/>
    <s v="Partial College"/>
    <x v="2"/>
    <x v="1"/>
  </r>
  <r>
    <n v="13032"/>
    <s v="MR."/>
    <x v="31"/>
    <s v="BAKER"/>
    <s v="MR. KEVIN BAKER"/>
    <x v="31"/>
    <n v="1977"/>
    <x v="1"/>
    <x v="1"/>
    <x v="0"/>
    <x v="0"/>
    <s v="kevin45@adventure-works.com"/>
    <s v="kevin45"/>
    <x v="4"/>
    <x v="1"/>
    <x v="2"/>
    <s v="Partial College"/>
    <x v="2"/>
    <x v="0"/>
  </r>
  <r>
    <n v="13033"/>
    <s v="MR."/>
    <x v="16"/>
    <s v="GONZALEZ"/>
    <s v="MR. XAVIER GONZALEZ"/>
    <x v="32"/>
    <n v="1976"/>
    <x v="0"/>
    <x v="0"/>
    <x v="0"/>
    <x v="0"/>
    <s v="xavier31@adventure-works.com"/>
    <s v="xavier31"/>
    <x v="3"/>
    <x v="1"/>
    <x v="2"/>
    <s v="Partial College"/>
    <x v="2"/>
    <x v="1"/>
  </r>
  <r>
    <n v="13034"/>
    <s v="MRS."/>
    <x v="32"/>
    <s v="YUAN"/>
    <s v="MRS. KELSEY YUAN"/>
    <x v="33"/>
    <n v="1949"/>
    <x v="0"/>
    <x v="0"/>
    <x v="1"/>
    <x v="1"/>
    <s v="kelsey6@adventure-works.com"/>
    <s v="kelsey6"/>
    <x v="9"/>
    <x v="2"/>
    <x v="3"/>
    <s v="Partial High School"/>
    <x v="3"/>
    <x v="0"/>
  </r>
  <r>
    <n v="13035"/>
    <s v="MRS."/>
    <x v="33"/>
    <s v="TORRES"/>
    <s v="MRS. KRISTY TORRES"/>
    <x v="34"/>
    <n v="1950"/>
    <x v="1"/>
    <x v="1"/>
    <x v="1"/>
    <x v="1"/>
    <s v="kristy11@adventure-works.com"/>
    <s v="kristy11"/>
    <x v="7"/>
    <x v="2"/>
    <x v="4"/>
    <s v="Partial College"/>
    <x v="3"/>
    <x v="1"/>
  </r>
  <r>
    <n v="13036"/>
    <s v="MRS."/>
    <x v="34"/>
    <s v="SUBRAM"/>
    <s v="MRS. VIRGINIA SUBRAM"/>
    <x v="35"/>
    <n v="1950"/>
    <x v="0"/>
    <x v="0"/>
    <x v="1"/>
    <x v="1"/>
    <s v="virginia15@adventure-works.com"/>
    <s v="virginia15"/>
    <x v="7"/>
    <x v="2"/>
    <x v="4"/>
    <s v="Partial College"/>
    <x v="3"/>
    <x v="0"/>
  </r>
  <r>
    <n v="13037"/>
    <s v="MR."/>
    <x v="35"/>
    <s v="PAL"/>
    <s v="MR. TERRENCE PAL"/>
    <x v="36"/>
    <n v="1950"/>
    <x v="1"/>
    <x v="1"/>
    <x v="0"/>
    <x v="0"/>
    <s v="terrence12@adventure-works.com"/>
    <s v="terrence12"/>
    <x v="7"/>
    <x v="2"/>
    <x v="4"/>
    <s v="High School"/>
    <x v="2"/>
    <x v="1"/>
  </r>
  <r>
    <n v="13038"/>
    <s v="MR."/>
    <x v="36"/>
    <s v="PAIS"/>
    <s v="MR. WILSON PAIS"/>
    <x v="37"/>
    <n v="1950"/>
    <x v="1"/>
    <x v="1"/>
    <x v="0"/>
    <x v="0"/>
    <s v="wilson0@adventure-works.com"/>
    <s v="wilson0"/>
    <x v="10"/>
    <x v="2"/>
    <x v="3"/>
    <s v="Bachelors"/>
    <x v="0"/>
    <x v="1"/>
  </r>
  <r>
    <n v="13039"/>
    <s v="MS."/>
    <x v="37"/>
    <s v="MA"/>
    <s v="MS. TRISHA MA"/>
    <x v="38"/>
    <n v="1980"/>
    <x v="0"/>
    <x v="0"/>
    <x v="1"/>
    <x v="1"/>
    <s v="trisha10@adventure-works.com"/>
    <s v="trisha10"/>
    <x v="9"/>
    <x v="2"/>
    <x v="2"/>
    <s v="Partial College"/>
    <x v="2"/>
    <x v="1"/>
  </r>
  <r>
    <n v="13040"/>
    <s v="MR."/>
    <x v="38"/>
    <s v="GONZALEZ"/>
    <s v="MR. ROY GONZALEZ"/>
    <x v="39"/>
    <n v="1951"/>
    <x v="1"/>
    <x v="1"/>
    <x v="0"/>
    <x v="0"/>
    <s v="roy19@adventure-works.com"/>
    <s v="roy19"/>
    <x v="7"/>
    <x v="2"/>
    <x v="4"/>
    <s v="High School"/>
    <x v="2"/>
    <x v="0"/>
  </r>
  <r>
    <n v="13041"/>
    <s v="MR."/>
    <x v="39"/>
    <s v="BROWN"/>
    <s v="MR. CAMERON BROWN"/>
    <x v="40"/>
    <n v="1951"/>
    <x v="1"/>
    <x v="1"/>
    <x v="0"/>
    <x v="0"/>
    <s v="cameron45@adventure-works.com"/>
    <s v="cameron45"/>
    <x v="7"/>
    <x v="2"/>
    <x v="4"/>
    <s v="High School"/>
    <x v="2"/>
    <x v="1"/>
  </r>
  <r>
    <n v="13042"/>
    <s v="MRS."/>
    <x v="40"/>
    <s v="PAL"/>
    <s v="MRS. ALISON PAL"/>
    <x v="41"/>
    <n v="1951"/>
    <x v="1"/>
    <x v="1"/>
    <x v="1"/>
    <x v="1"/>
    <s v="alison12@adventure-works.com"/>
    <s v="alison12"/>
    <x v="7"/>
    <x v="2"/>
    <x v="4"/>
    <s v="High School"/>
    <x v="2"/>
    <x v="0"/>
  </r>
  <r>
    <n v="13043"/>
    <s v="MRS."/>
    <x v="41"/>
    <s v="MADAN"/>
    <s v="MRS. BRENDA MADAN"/>
    <x v="42"/>
    <n v="1952"/>
    <x v="1"/>
    <x v="1"/>
    <x v="1"/>
    <x v="1"/>
    <s v="brenda11@adventure-works.com"/>
    <s v="brenda11"/>
    <x v="7"/>
    <x v="2"/>
    <x v="4"/>
    <s v="High School"/>
    <x v="2"/>
    <x v="1"/>
  </r>
  <r>
    <n v="13044"/>
    <s v="MRS."/>
    <x v="42"/>
    <s v="JAI"/>
    <s v="MRS. KATRINA JAI"/>
    <x v="43"/>
    <n v="1952"/>
    <x v="1"/>
    <x v="1"/>
    <x v="1"/>
    <x v="1"/>
    <s v="katrina10@adventure-works.com"/>
    <s v="katrina10"/>
    <x v="7"/>
    <x v="2"/>
    <x v="4"/>
    <s v="High School"/>
    <x v="2"/>
    <x v="1"/>
  </r>
  <r>
    <n v="13045"/>
    <s v="MRS."/>
    <x v="10"/>
    <s v="GOMEZ"/>
    <s v="MRS. ANNE GOMEZ"/>
    <x v="44"/>
    <n v="1952"/>
    <x v="1"/>
    <x v="1"/>
    <x v="1"/>
    <x v="1"/>
    <s v="anne2@adventure-works.com"/>
    <s v="anne2"/>
    <x v="7"/>
    <x v="2"/>
    <x v="4"/>
    <s v="High School"/>
    <x v="2"/>
    <x v="0"/>
  </r>
  <r>
    <n v="13046"/>
    <s v="MR."/>
    <x v="43"/>
    <s v="RODRIGUEZ"/>
    <s v="MR. JONATHAN RODRIGUEZ"/>
    <x v="45"/>
    <n v="1952"/>
    <x v="1"/>
    <x v="1"/>
    <x v="0"/>
    <x v="0"/>
    <s v="jonathan74@adventure-works.com"/>
    <s v="jonathan74"/>
    <x v="7"/>
    <x v="2"/>
    <x v="4"/>
    <s v="High School"/>
    <x v="2"/>
    <x v="0"/>
  </r>
  <r>
    <n v="13047"/>
    <s v="MR."/>
    <x v="44"/>
    <s v="VAZQUEZ"/>
    <s v="MR. RODNEY VAZQUEZ"/>
    <x v="46"/>
    <n v="1952"/>
    <x v="1"/>
    <x v="1"/>
    <x v="0"/>
    <x v="0"/>
    <s v="rodney10@adventure-works.com"/>
    <s v="rodney10"/>
    <x v="10"/>
    <x v="2"/>
    <x v="3"/>
    <s v="Partial College"/>
    <x v="3"/>
    <x v="1"/>
  </r>
  <r>
    <n v="13048"/>
    <s v="MRS."/>
    <x v="45"/>
    <s v="HAYES"/>
    <s v="MRS. ALEXIS HAYES"/>
    <x v="47"/>
    <n v="1952"/>
    <x v="1"/>
    <x v="1"/>
    <x v="1"/>
    <x v="1"/>
    <s v="alexis46@adventure-works.com"/>
    <s v="alexis46"/>
    <x v="10"/>
    <x v="2"/>
    <x v="3"/>
    <s v="Partial College"/>
    <x v="2"/>
    <x v="0"/>
  </r>
  <r>
    <n v="13049"/>
    <s v="MRS."/>
    <x v="46"/>
    <s v="WANG"/>
    <s v="MRS. AUTUMN WANG"/>
    <x v="48"/>
    <n v="1953"/>
    <x v="1"/>
    <x v="1"/>
    <x v="1"/>
    <x v="1"/>
    <s v="autumn1@adventure-works.com"/>
    <s v="autumn1"/>
    <x v="10"/>
    <x v="2"/>
    <x v="4"/>
    <s v="Partial College"/>
    <x v="2"/>
    <x v="1"/>
  </r>
  <r>
    <n v="13050"/>
    <s v="MR."/>
    <x v="47"/>
    <s v="ZENG"/>
    <s v="MR. DENNIS ZENG"/>
    <x v="49"/>
    <n v="1953"/>
    <x v="1"/>
    <x v="1"/>
    <x v="0"/>
    <x v="0"/>
    <s v="dennis24@adventure-works.com"/>
    <s v="dennis24"/>
    <x v="10"/>
    <x v="2"/>
    <x v="4"/>
    <s v="Partial College"/>
    <x v="2"/>
    <x v="1"/>
  </r>
  <r>
    <n v="13051"/>
    <s v="MR."/>
    <x v="48"/>
    <s v="JONES"/>
    <s v="MR. ETHAN JONES"/>
    <x v="50"/>
    <n v="1954"/>
    <x v="0"/>
    <x v="0"/>
    <x v="0"/>
    <x v="0"/>
    <s v="ethan33@adventure-works.com"/>
    <s v="ethan33"/>
    <x v="1"/>
    <x v="1"/>
    <x v="3"/>
    <s v="Partial College"/>
    <x v="2"/>
    <x v="1"/>
  </r>
  <r>
    <n v="13052"/>
    <s v="MR."/>
    <x v="49"/>
    <s v="MORRIS"/>
    <s v="MR. JARED MORRIS"/>
    <x v="51"/>
    <n v="1975"/>
    <x v="0"/>
    <x v="0"/>
    <x v="0"/>
    <x v="0"/>
    <s v="jared20@adventure-works.com"/>
    <s v="jared20"/>
    <x v="10"/>
    <x v="2"/>
    <x v="2"/>
    <s v="Partial College"/>
    <x v="2"/>
    <x v="1"/>
  </r>
  <r>
    <n v="13053"/>
    <s v="MR."/>
    <x v="12"/>
    <s v="LU"/>
    <s v="MR. VINCENT LU"/>
    <x v="52"/>
    <n v="1975"/>
    <x v="0"/>
    <x v="0"/>
    <x v="0"/>
    <x v="0"/>
    <s v="vincent11@adventure-works.com"/>
    <s v="vincent11"/>
    <x v="10"/>
    <x v="2"/>
    <x v="2"/>
    <s v="Partial College"/>
    <x v="2"/>
    <x v="1"/>
  </r>
  <r>
    <n v="13054"/>
    <s v="MR."/>
    <x v="50"/>
    <s v="WARD"/>
    <s v="MR. BRYCE WARD"/>
    <x v="53"/>
    <n v="1975"/>
    <x v="1"/>
    <x v="1"/>
    <x v="0"/>
    <x v="0"/>
    <s v="bryce11@adventure-works.com"/>
    <s v="bryce11"/>
    <x v="10"/>
    <x v="2"/>
    <x v="2"/>
    <s v="Partial College"/>
    <x v="2"/>
    <x v="0"/>
  </r>
  <r>
    <n v="13055"/>
    <s v="MR."/>
    <x v="51"/>
    <s v="GRAY"/>
    <s v="MR. PATRICK GRAY"/>
    <x v="54"/>
    <n v="1975"/>
    <x v="0"/>
    <x v="0"/>
    <x v="0"/>
    <x v="0"/>
    <s v="patrick12@adventure-works.com"/>
    <s v="patrick12"/>
    <x v="7"/>
    <x v="2"/>
    <x v="2"/>
    <s v="High School"/>
    <x v="2"/>
    <x v="0"/>
  </r>
  <r>
    <n v="13056"/>
    <s v="MS."/>
    <x v="52"/>
    <s v="BLUE"/>
    <s v="MS. MORGAN BLUE"/>
    <x v="55"/>
    <n v="1975"/>
    <x v="0"/>
    <x v="0"/>
    <x v="1"/>
    <x v="1"/>
    <s v="morgan52@adventure-works.com"/>
    <s v="morgan52"/>
    <x v="7"/>
    <x v="2"/>
    <x v="2"/>
    <s v="High School"/>
    <x v="2"/>
    <x v="0"/>
  </r>
  <r>
    <n v="13057"/>
    <s v="MS."/>
    <x v="18"/>
    <s v="POWELL"/>
    <s v="MS. DESTINY POWELL"/>
    <x v="56"/>
    <n v="1975"/>
    <x v="0"/>
    <x v="0"/>
    <x v="1"/>
    <x v="1"/>
    <s v="destiny57@adventure-works.com"/>
    <s v="destiny57"/>
    <x v="7"/>
    <x v="2"/>
    <x v="2"/>
    <s v="High School"/>
    <x v="2"/>
    <x v="0"/>
  </r>
  <r>
    <n v="13058"/>
    <s v="MR."/>
    <x v="53"/>
    <s v="HUANG"/>
    <s v="MR. RAMON HUANG"/>
    <x v="57"/>
    <n v="1975"/>
    <x v="1"/>
    <x v="1"/>
    <x v="0"/>
    <x v="0"/>
    <s v="ramon5@adventure-works.com"/>
    <s v="ramon5"/>
    <x v="7"/>
    <x v="2"/>
    <x v="2"/>
    <s v="High School"/>
    <x v="2"/>
    <x v="0"/>
  </r>
  <r>
    <n v="13059"/>
    <s v="MR."/>
    <x v="54"/>
    <s v="DENG"/>
    <s v="MR. KEITH DENG"/>
    <x v="58"/>
    <n v="1975"/>
    <x v="1"/>
    <x v="1"/>
    <x v="0"/>
    <x v="0"/>
    <s v="keith3@adventure-works.com"/>
    <s v="keith3"/>
    <x v="7"/>
    <x v="2"/>
    <x v="2"/>
    <s v="High School"/>
    <x v="2"/>
    <x v="0"/>
  </r>
  <r>
    <n v="13060"/>
    <s v="MR."/>
    <x v="55"/>
    <s v="ZHU"/>
    <s v="MR. EUGENE ZHU"/>
    <x v="59"/>
    <n v="1975"/>
    <x v="1"/>
    <x v="1"/>
    <x v="0"/>
    <x v="0"/>
    <s v="eugene18@adventure-works.com"/>
    <s v="eugene18"/>
    <x v="7"/>
    <x v="2"/>
    <x v="2"/>
    <s v="High School"/>
    <x v="2"/>
    <x v="0"/>
  </r>
  <r>
    <n v="13061"/>
    <s v="MR."/>
    <x v="48"/>
    <s v="ANDERSON"/>
    <s v="MR. ETHAN ANDERSON"/>
    <x v="60"/>
    <n v="1974"/>
    <x v="0"/>
    <x v="0"/>
    <x v="0"/>
    <x v="0"/>
    <s v="ethan43@adventure-works.com"/>
    <s v="ethan43"/>
    <x v="10"/>
    <x v="2"/>
    <x v="2"/>
    <s v="High School"/>
    <x v="2"/>
    <x v="1"/>
  </r>
  <r>
    <n v="13062"/>
    <s v="MR."/>
    <x v="56"/>
    <s v="WILLIAMS"/>
    <s v="MR. EDUARDO WILLIAMS"/>
    <x v="61"/>
    <n v="1974"/>
    <x v="0"/>
    <x v="0"/>
    <x v="0"/>
    <x v="0"/>
    <s v="eduardo2@adventure-works.com"/>
    <s v="eduardo2"/>
    <x v="10"/>
    <x v="2"/>
    <x v="2"/>
    <s v="High School"/>
    <x v="2"/>
    <x v="0"/>
  </r>
  <r>
    <n v="13063"/>
    <s v="MS."/>
    <x v="57"/>
    <s v="JOHNSON"/>
    <s v="MS. JESSICA JOHNSON"/>
    <x v="62"/>
    <n v="1974"/>
    <x v="0"/>
    <x v="0"/>
    <x v="1"/>
    <x v="1"/>
    <s v="jessica48@adventure-works.com"/>
    <s v="jessica48"/>
    <x v="10"/>
    <x v="2"/>
    <x v="2"/>
    <s v="High School"/>
    <x v="2"/>
    <x v="0"/>
  </r>
  <r>
    <n v="13064"/>
    <s v="MR."/>
    <x v="27"/>
    <s v="PARKER"/>
    <s v="MR. DALTON PARKER"/>
    <x v="63"/>
    <n v="1974"/>
    <x v="0"/>
    <x v="0"/>
    <x v="0"/>
    <x v="0"/>
    <s v="dalton42@adventure-works.com"/>
    <s v="dalton42"/>
    <x v="10"/>
    <x v="2"/>
    <x v="2"/>
    <s v="High School"/>
    <x v="2"/>
    <x v="1"/>
  </r>
  <r>
    <n v="13065"/>
    <s v="MS."/>
    <x v="52"/>
    <s v="GONZALEZ"/>
    <s v="MS. MORGAN GONZALEZ"/>
    <x v="64"/>
    <n v="1974"/>
    <x v="0"/>
    <x v="0"/>
    <x v="1"/>
    <x v="1"/>
    <s v="morgan14@adventure-works.com"/>
    <s v="morgan14"/>
    <x v="7"/>
    <x v="2"/>
    <x v="2"/>
    <s v="High School"/>
    <x v="2"/>
    <x v="1"/>
  </r>
  <r>
    <n v="13066"/>
    <s v="MR."/>
    <x v="58"/>
    <s v="PERRY"/>
    <s v="MR. CARSON PERRY"/>
    <x v="65"/>
    <n v="1974"/>
    <x v="0"/>
    <x v="0"/>
    <x v="0"/>
    <x v="0"/>
    <s v="carson6@adventure-works.com"/>
    <s v="carson6"/>
    <x v="7"/>
    <x v="2"/>
    <x v="2"/>
    <s v="High School"/>
    <x v="2"/>
    <x v="1"/>
  </r>
  <r>
    <n v="13067"/>
    <s v="MS."/>
    <x v="59"/>
    <s v="GARCIA"/>
    <s v="MS. OLIVIA GARCIA"/>
    <x v="66"/>
    <n v="1974"/>
    <x v="0"/>
    <x v="0"/>
    <x v="1"/>
    <x v="1"/>
    <s v="olivia15@adventure-works.com"/>
    <s v="olivia15"/>
    <x v="7"/>
    <x v="2"/>
    <x v="2"/>
    <s v="High School"/>
    <x v="2"/>
    <x v="0"/>
  </r>
  <r>
    <n v="13068"/>
    <s v="MS."/>
    <x v="60"/>
    <s v="MORRIS"/>
    <s v="MS. ALEXANDRIA MORRIS"/>
    <x v="67"/>
    <n v="1974"/>
    <x v="0"/>
    <x v="0"/>
    <x v="1"/>
    <x v="1"/>
    <s v="alexandria39@adventure-works.com"/>
    <s v="alexandria39"/>
    <x v="7"/>
    <x v="2"/>
    <x v="2"/>
    <s v="High School"/>
    <x v="2"/>
    <x v="1"/>
  </r>
  <r>
    <n v="13069"/>
    <s v="MR."/>
    <x v="61"/>
    <s v="GREEN"/>
    <s v="MR. ADAM GREEN"/>
    <x v="68"/>
    <n v="1974"/>
    <x v="1"/>
    <x v="1"/>
    <x v="0"/>
    <x v="0"/>
    <s v="adam45@adventure-works.com"/>
    <s v="adam45"/>
    <x v="7"/>
    <x v="2"/>
    <x v="2"/>
    <s v="High School"/>
    <x v="2"/>
    <x v="0"/>
  </r>
  <r>
    <n v="13070"/>
    <s v="MS."/>
    <x v="62"/>
    <s v="CLARK"/>
    <s v="MS. EMMA CLARK"/>
    <x v="69"/>
    <n v="1973"/>
    <x v="0"/>
    <x v="0"/>
    <x v="1"/>
    <x v="1"/>
    <s v="emma18@adventure-works.com"/>
    <s v="emma18"/>
    <x v="3"/>
    <x v="1"/>
    <x v="2"/>
    <s v="Partial College"/>
    <x v="2"/>
    <x v="0"/>
  </r>
  <r>
    <n v="13071"/>
    <s v="MR."/>
    <x v="63"/>
    <s v="WALKER"/>
    <s v="MR. THOMAS WALKER"/>
    <x v="70"/>
    <n v="1973"/>
    <x v="1"/>
    <x v="1"/>
    <x v="0"/>
    <x v="0"/>
    <s v="thomas82@adventure-works.com"/>
    <s v="thomas82"/>
    <x v="3"/>
    <x v="1"/>
    <x v="2"/>
    <s v="Partial College"/>
    <x v="2"/>
    <x v="0"/>
  </r>
  <r>
    <n v="13072"/>
    <s v="MS."/>
    <x v="62"/>
    <s v="ROGERS"/>
    <s v="MS. EMMA ROGERS"/>
    <x v="71"/>
    <n v="1973"/>
    <x v="0"/>
    <x v="0"/>
    <x v="1"/>
    <x v="1"/>
    <s v="emma27@adventure-works.com"/>
    <s v="emma27"/>
    <x v="4"/>
    <x v="1"/>
    <x v="2"/>
    <s v="Partial College"/>
    <x v="1"/>
    <x v="0"/>
  </r>
  <r>
    <n v="13073"/>
    <s v="MS."/>
    <x v="64"/>
    <s v="LOPEZ"/>
    <s v="MS. SYDNEY LOPEZ"/>
    <x v="72"/>
    <n v="1976"/>
    <x v="1"/>
    <x v="1"/>
    <x v="1"/>
    <x v="1"/>
    <s v="sydney62@adventure-works.com"/>
    <s v="sydney62"/>
    <x v="3"/>
    <x v="1"/>
    <x v="2"/>
    <s v="Partial College"/>
    <x v="1"/>
    <x v="0"/>
  </r>
  <r>
    <n v="13074"/>
    <s v="MS."/>
    <x v="65"/>
    <s v="HUGHES"/>
    <s v="MS. GRACE HUGHES"/>
    <x v="73"/>
    <n v="1976"/>
    <x v="1"/>
    <x v="1"/>
    <x v="1"/>
    <x v="1"/>
    <s v="grace59@adventure-works.com"/>
    <s v="grace59"/>
    <x v="3"/>
    <x v="1"/>
    <x v="2"/>
    <s v="Partial College"/>
    <x v="1"/>
    <x v="0"/>
  </r>
  <r>
    <n v="13075"/>
    <s v="MR."/>
    <x v="66"/>
    <s v="LIN"/>
    <s v="MR. KELVIN LIN"/>
    <x v="74"/>
    <n v="1955"/>
    <x v="1"/>
    <x v="1"/>
    <x v="0"/>
    <x v="0"/>
    <s v="kelvin27@adventure-works.com"/>
    <s v="kelvin27"/>
    <x v="1"/>
    <x v="1"/>
    <x v="3"/>
    <s v="High School"/>
    <x v="2"/>
    <x v="1"/>
  </r>
  <r>
    <n v="13076"/>
    <s v="MR."/>
    <x v="67"/>
    <s v="MUNOZ"/>
    <s v="MR. CRAIG MUNOZ"/>
    <x v="75"/>
    <n v="1955"/>
    <x v="0"/>
    <x v="0"/>
    <x v="0"/>
    <x v="0"/>
    <s v="craig8@adventure-works.com"/>
    <s v="craig8"/>
    <x v="1"/>
    <x v="1"/>
    <x v="3"/>
    <s v="High School"/>
    <x v="2"/>
    <x v="1"/>
  </r>
  <r>
    <n v="13077"/>
    <s v="MR."/>
    <x v="68"/>
    <s v="GOEL"/>
    <s v="MR. ALEJANDRO GOEL"/>
    <x v="76"/>
    <n v="1956"/>
    <x v="0"/>
    <x v="0"/>
    <x v="0"/>
    <x v="0"/>
    <s v="alejandro44@adventure-works.com"/>
    <s v="alejandro44"/>
    <x v="4"/>
    <x v="1"/>
    <x v="3"/>
    <s v="High School"/>
    <x v="2"/>
    <x v="1"/>
  </r>
  <r>
    <n v="13078"/>
    <s v="MRS."/>
    <x v="69"/>
    <s v="CHANDE"/>
    <s v="MRS. MICHELE CHANDE"/>
    <x v="77"/>
    <n v="1956"/>
    <x v="0"/>
    <x v="0"/>
    <x v="1"/>
    <x v="1"/>
    <s v="michele15@adventure-works.com"/>
    <s v="michele15"/>
    <x v="4"/>
    <x v="1"/>
    <x v="3"/>
    <s v="High School"/>
    <x v="2"/>
    <x v="0"/>
  </r>
  <r>
    <n v="13079"/>
    <s v="MR."/>
    <x v="70"/>
    <s v="BHAT"/>
    <s v="MR. EDWIN BHAT"/>
    <x v="78"/>
    <n v="1957"/>
    <x v="0"/>
    <x v="0"/>
    <x v="0"/>
    <x v="0"/>
    <s v="edwin43@adventure-works.com"/>
    <s v="edwin43"/>
    <x v="1"/>
    <x v="1"/>
    <x v="3"/>
    <s v="High School"/>
    <x v="1"/>
    <x v="1"/>
  </r>
  <r>
    <n v="13080"/>
    <s v="MRS."/>
    <x v="71"/>
    <s v="MEHTA"/>
    <s v="MRS. DENISE MEHTA"/>
    <x v="79"/>
    <n v="1957"/>
    <x v="0"/>
    <x v="0"/>
    <x v="1"/>
    <x v="1"/>
    <s v="denise15@adventure-works.com"/>
    <s v="denise15"/>
    <x v="1"/>
    <x v="1"/>
    <x v="3"/>
    <s v="High School"/>
    <x v="1"/>
    <x v="1"/>
  </r>
  <r>
    <n v="13081"/>
    <s v="MRS."/>
    <x v="72"/>
    <s v="RUIZ"/>
    <s v="MRS. KRISTA RUIZ"/>
    <x v="80"/>
    <n v="1957"/>
    <x v="0"/>
    <x v="0"/>
    <x v="1"/>
    <x v="1"/>
    <s v="krista2@adventure-works.com"/>
    <s v="krista2"/>
    <x v="1"/>
    <x v="1"/>
    <x v="3"/>
    <s v="High School"/>
    <x v="1"/>
    <x v="1"/>
  </r>
  <r>
    <n v="13082"/>
    <s v="MR."/>
    <x v="73"/>
    <s v="PETERSON"/>
    <s v="MR. JUAN PETERSON"/>
    <x v="81"/>
    <n v="1958"/>
    <x v="0"/>
    <x v="0"/>
    <x v="0"/>
    <x v="0"/>
    <s v="juan15@adventure-works.com"/>
    <s v="juan15"/>
    <x v="0"/>
    <x v="0"/>
    <x v="2"/>
    <s v="Graduate Degree"/>
    <x v="0"/>
    <x v="0"/>
  </r>
  <r>
    <n v="13083"/>
    <s v="MS."/>
    <x v="74"/>
    <s v="BUTLER"/>
    <s v="MS. JORDYN BUTLER"/>
    <x v="82"/>
    <n v="1973"/>
    <x v="0"/>
    <x v="0"/>
    <x v="1"/>
    <x v="1"/>
    <s v="jordyn14@adventure-works.com"/>
    <s v="jordyn14"/>
    <x v="4"/>
    <x v="1"/>
    <x v="2"/>
    <s v="Partial College"/>
    <x v="1"/>
    <x v="0"/>
  </r>
  <r>
    <n v="13084"/>
    <s v="MR."/>
    <x v="75"/>
    <s v="HUGHES"/>
    <s v="MR. LUIS HUGHES"/>
    <x v="83"/>
    <n v="1974"/>
    <x v="0"/>
    <x v="0"/>
    <x v="0"/>
    <x v="0"/>
    <s v="luis10@adventure-works.com"/>
    <s v="luis10"/>
    <x v="7"/>
    <x v="2"/>
    <x v="2"/>
    <s v="High School"/>
    <x v="1"/>
    <x v="1"/>
  </r>
  <r>
    <n v="13085"/>
    <s v="MR."/>
    <x v="76"/>
    <s v="HARRIS"/>
    <s v="MR. DANIEL HARRIS"/>
    <x v="84"/>
    <n v="1974"/>
    <x v="0"/>
    <x v="0"/>
    <x v="0"/>
    <x v="0"/>
    <s v="daniel10@adventure-works.com"/>
    <s v="daniel10"/>
    <x v="7"/>
    <x v="2"/>
    <x v="2"/>
    <s v="Partial High School"/>
    <x v="2"/>
    <x v="0"/>
  </r>
  <r>
    <n v="13086"/>
    <s v="MR."/>
    <x v="77"/>
    <s v="NELSON"/>
    <s v="MR. BLAKE NELSON"/>
    <x v="85"/>
    <n v="1974"/>
    <x v="0"/>
    <x v="0"/>
    <x v="0"/>
    <x v="0"/>
    <s v="blake36@adventure-works.com"/>
    <s v="blake36"/>
    <x v="3"/>
    <x v="1"/>
    <x v="2"/>
    <s v="Partial College"/>
    <x v="1"/>
    <x v="0"/>
  </r>
  <r>
    <n v="13087"/>
    <s v="MR."/>
    <x v="26"/>
    <s v="COLLINS"/>
    <s v="MR. JEREMY COLLINS"/>
    <x v="86"/>
    <n v="1974"/>
    <x v="0"/>
    <x v="0"/>
    <x v="0"/>
    <x v="0"/>
    <s v="jeremy19@adventure-works.com"/>
    <s v="jeremy19"/>
    <x v="3"/>
    <x v="1"/>
    <x v="2"/>
    <s v="Partial College"/>
    <x v="1"/>
    <x v="0"/>
  </r>
  <r>
    <n v="13088"/>
    <s v="MS."/>
    <x v="78"/>
    <s v="POWELL"/>
    <s v="MS. MEGAN POWELL"/>
    <x v="87"/>
    <n v="1974"/>
    <x v="0"/>
    <x v="0"/>
    <x v="1"/>
    <x v="1"/>
    <s v="megan58@adventure-works.com"/>
    <s v="megan58"/>
    <x v="3"/>
    <x v="1"/>
    <x v="2"/>
    <s v="Partial College"/>
    <x v="1"/>
    <x v="1"/>
  </r>
  <r>
    <n v="13089"/>
    <s v="MRS."/>
    <x v="79"/>
    <s v="ALEXANDER"/>
    <s v="MRS. ELIZABETH ALEXANDER"/>
    <x v="88"/>
    <n v="1959"/>
    <x v="1"/>
    <x v="1"/>
    <x v="1"/>
    <x v="1"/>
    <s v="elizabeth47@adventure-works.com"/>
    <s v="elizabeth47"/>
    <x v="11"/>
    <x v="0"/>
    <x v="0"/>
    <s v="Bachelors"/>
    <x v="0"/>
    <x v="0"/>
  </r>
  <r>
    <n v="13090"/>
    <s v="MR."/>
    <x v="80"/>
    <s v="TANG"/>
    <s v="MR. WAYNE TANG"/>
    <x v="89"/>
    <n v="1959"/>
    <x v="0"/>
    <x v="0"/>
    <x v="0"/>
    <x v="0"/>
    <s v="wayne5@adventure-works.com"/>
    <s v="wayne5"/>
    <x v="0"/>
    <x v="0"/>
    <x v="2"/>
    <s v="Graduate Degree"/>
    <x v="0"/>
    <x v="1"/>
  </r>
  <r>
    <n v="13091"/>
    <s v="MS."/>
    <x v="81"/>
    <s v="MARTIN"/>
    <s v="MS. DEANNA MARTIN"/>
    <x v="90"/>
    <n v="1959"/>
    <x v="0"/>
    <x v="0"/>
    <x v="1"/>
    <x v="1"/>
    <s v="deanna25@adventure-works.com"/>
    <s v="deanna25"/>
    <x v="0"/>
    <x v="0"/>
    <x v="2"/>
    <s v="Graduate Degree"/>
    <x v="0"/>
    <x v="1"/>
  </r>
  <r>
    <n v="13092"/>
    <s v="MR."/>
    <x v="82"/>
    <s v="WALKER"/>
    <s v="MR. WILLIAM WALKER"/>
    <x v="91"/>
    <n v="1966"/>
    <x v="1"/>
    <x v="1"/>
    <x v="0"/>
    <x v="0"/>
    <s v="william29@adventure-works.com"/>
    <s v="william29"/>
    <x v="0"/>
    <x v="0"/>
    <x v="2"/>
    <s v="Graduate Degree"/>
    <x v="0"/>
    <x v="0"/>
  </r>
  <r>
    <n v="13093"/>
    <s v="MRS."/>
    <x v="83"/>
    <s v="JAMES"/>
    <s v="MRS. MICHELLE JAMES"/>
    <x v="92"/>
    <n v="1957"/>
    <x v="0"/>
    <x v="0"/>
    <x v="1"/>
    <x v="1"/>
    <s v="michelle9@adventure-works.com"/>
    <s v="michelle9"/>
    <x v="1"/>
    <x v="1"/>
    <x v="3"/>
    <s v="Partial High School"/>
    <x v="2"/>
    <x v="1"/>
  </r>
  <r>
    <n v="13094"/>
    <s v="MR."/>
    <x v="15"/>
    <s v="DIAZ"/>
    <s v="MR. ANTONIO DIAZ"/>
    <x v="93"/>
    <n v="1957"/>
    <x v="1"/>
    <x v="1"/>
    <x v="0"/>
    <x v="0"/>
    <s v="antonio22@adventure-works.com"/>
    <s v="antonio22"/>
    <x v="3"/>
    <x v="1"/>
    <x v="3"/>
    <s v="High School"/>
    <x v="1"/>
    <x v="1"/>
  </r>
  <r>
    <n v="13095"/>
    <s v="MR."/>
    <x v="84"/>
    <s v="GRIFFIN"/>
    <s v="MR. JORDAN GRIFFIN"/>
    <x v="94"/>
    <n v="1957"/>
    <x v="0"/>
    <x v="0"/>
    <x v="0"/>
    <x v="0"/>
    <s v="jordan18@adventure-works.com"/>
    <s v="jordan18"/>
    <x v="3"/>
    <x v="1"/>
    <x v="3"/>
    <s v="High School"/>
    <x v="1"/>
    <x v="0"/>
  </r>
  <r>
    <n v="13096"/>
    <s v="MR."/>
    <x v="43"/>
    <s v="CHEN"/>
    <s v="MR. JONATHAN CHEN"/>
    <x v="95"/>
    <n v="1957"/>
    <x v="1"/>
    <x v="1"/>
    <x v="0"/>
    <x v="0"/>
    <s v="jonathan24@adventure-works.com"/>
    <s v="jonathan24"/>
    <x v="3"/>
    <x v="1"/>
    <x v="3"/>
    <s v="High School"/>
    <x v="1"/>
    <x v="1"/>
  </r>
  <r>
    <n v="13097"/>
    <s v="MR."/>
    <x v="27"/>
    <s v="HUGHES"/>
    <s v="MR. DALTON HUGHES"/>
    <x v="96"/>
    <n v="1957"/>
    <x v="1"/>
    <x v="1"/>
    <x v="0"/>
    <x v="0"/>
    <s v="dalton57@adventure-works.com"/>
    <s v="dalton57"/>
    <x v="3"/>
    <x v="1"/>
    <x v="3"/>
    <s v="High School"/>
    <x v="1"/>
    <x v="1"/>
  </r>
  <r>
    <n v="13098"/>
    <s v="MR."/>
    <x v="85"/>
    <s v="RUSSELL"/>
    <s v="MR. MIGUEL RUSSELL"/>
    <x v="97"/>
    <n v="1957"/>
    <x v="1"/>
    <x v="1"/>
    <x v="0"/>
    <x v="0"/>
    <s v="miguel66@adventure-works.com"/>
    <s v="miguel66"/>
    <x v="3"/>
    <x v="1"/>
    <x v="3"/>
    <s v="High School"/>
    <x v="1"/>
    <x v="1"/>
  </r>
  <r>
    <n v="13099"/>
    <s v="MR."/>
    <x v="86"/>
    <s v="ROMERO"/>
    <s v="MR. JAY ROMERO"/>
    <x v="98"/>
    <n v="1957"/>
    <x v="1"/>
    <x v="1"/>
    <x v="0"/>
    <x v="0"/>
    <s v="jay38@adventure-works.com"/>
    <s v="jay38"/>
    <x v="4"/>
    <x v="1"/>
    <x v="4"/>
    <s v="Partial College"/>
    <x v="1"/>
    <x v="1"/>
  </r>
  <r>
    <n v="13100"/>
    <s v="MR."/>
    <x v="26"/>
    <s v="PEREZ"/>
    <s v="MR. JEREMY PEREZ"/>
    <x v="99"/>
    <n v="1957"/>
    <x v="1"/>
    <x v="1"/>
    <x v="0"/>
    <x v="0"/>
    <s v="jeremy14@adventure-works.com"/>
    <s v="jeremy14"/>
    <x v="1"/>
    <x v="1"/>
    <x v="3"/>
    <s v="Bachelors"/>
    <x v="0"/>
    <x v="1"/>
  </r>
  <r>
    <n v="13101"/>
    <s v="MR."/>
    <x v="87"/>
    <s v="SANCHEZ"/>
    <s v="MR. ALEX SANCHEZ"/>
    <x v="97"/>
    <n v="1957"/>
    <x v="0"/>
    <x v="0"/>
    <x v="0"/>
    <x v="0"/>
    <s v="alex21@adventure-works.com"/>
    <s v="alex21"/>
    <x v="2"/>
    <x v="1"/>
    <x v="3"/>
    <s v="Partial College"/>
    <x v="1"/>
    <x v="0"/>
  </r>
  <r>
    <n v="13102"/>
    <s v="MRS."/>
    <x v="88"/>
    <s v="BRYANT"/>
    <s v="MRS. MARIAH BRYANT"/>
    <x v="100"/>
    <n v="1957"/>
    <x v="0"/>
    <x v="0"/>
    <x v="1"/>
    <x v="1"/>
    <s v="mariah23@adventure-works.com"/>
    <s v="mariah23"/>
    <x v="2"/>
    <x v="1"/>
    <x v="3"/>
    <s v="Partial College"/>
    <x v="1"/>
    <x v="0"/>
  </r>
  <r>
    <n v="13103"/>
    <s v="MR."/>
    <x v="17"/>
    <s v="RAJI"/>
    <s v="MR. BRENDAN RAJI"/>
    <x v="101"/>
    <n v="1963"/>
    <x v="0"/>
    <x v="0"/>
    <x v="0"/>
    <x v="0"/>
    <s v="brendan19@adventure-works.com"/>
    <s v="brendan19"/>
    <x v="4"/>
    <x v="1"/>
    <x v="2"/>
    <s v="Bachelors"/>
    <x v="1"/>
    <x v="1"/>
  </r>
  <r>
    <n v="13104"/>
    <s v="MR."/>
    <x v="89"/>
    <s v="BECKER"/>
    <s v="MR. GREGORY BECKER"/>
    <x v="102"/>
    <n v="1963"/>
    <x v="0"/>
    <x v="0"/>
    <x v="0"/>
    <x v="0"/>
    <s v="gregory24@adventure-works.com"/>
    <s v="gregory24"/>
    <x v="4"/>
    <x v="1"/>
    <x v="2"/>
    <s v="Bachelors"/>
    <x v="1"/>
    <x v="1"/>
  </r>
  <r>
    <n v="13105"/>
    <s v="MRS."/>
    <x v="5"/>
    <s v="KOVÁR"/>
    <s v="MRS. WHITNEY KOVÁR"/>
    <x v="103"/>
    <n v="1962"/>
    <x v="1"/>
    <x v="1"/>
    <x v="1"/>
    <x v="1"/>
    <s v="whitney4@adventure-works.com"/>
    <s v="whitney4"/>
    <x v="3"/>
    <x v="1"/>
    <x v="0"/>
    <s v="Bachelors"/>
    <x v="1"/>
    <x v="0"/>
  </r>
  <r>
    <n v="13106"/>
    <s v="MRS."/>
    <x v="90"/>
    <s v="MUNOZ"/>
    <s v="MRS. EBONY MUNOZ"/>
    <x v="104"/>
    <n v="1962"/>
    <x v="1"/>
    <x v="1"/>
    <x v="1"/>
    <x v="1"/>
    <s v="ebony30@adventure-works.com"/>
    <s v="ebony30"/>
    <x v="3"/>
    <x v="1"/>
    <x v="0"/>
    <s v="Bachelors"/>
    <x v="1"/>
    <x v="0"/>
  </r>
  <r>
    <n v="13107"/>
    <s v="MRS."/>
    <x v="91"/>
    <s v="NELSON"/>
    <s v="MRS. MARY NELSON"/>
    <x v="105"/>
    <n v="1962"/>
    <x v="1"/>
    <x v="1"/>
    <x v="1"/>
    <x v="1"/>
    <s v="mary22@adventure-works.com"/>
    <s v="mary22"/>
    <x v="3"/>
    <x v="1"/>
    <x v="0"/>
    <s v="Bachelors"/>
    <x v="1"/>
    <x v="0"/>
  </r>
  <r>
    <n v="13108"/>
    <s v="MR."/>
    <x v="92"/>
    <s v="WANG"/>
    <s v="MR. CURTIS WANG"/>
    <x v="106"/>
    <n v="1962"/>
    <x v="1"/>
    <x v="1"/>
    <x v="0"/>
    <x v="0"/>
    <s v="curtis2@adventure-works.com"/>
    <s v="curtis2"/>
    <x v="3"/>
    <x v="1"/>
    <x v="0"/>
    <s v="Bachelors"/>
    <x v="1"/>
    <x v="0"/>
  </r>
  <r>
    <n v="13109"/>
    <s v="MRS."/>
    <x v="93"/>
    <s v="NAVARRO"/>
    <s v="MRS. CHERYL NAVARRO"/>
    <x v="107"/>
    <n v="1962"/>
    <x v="1"/>
    <x v="1"/>
    <x v="1"/>
    <x v="1"/>
    <s v="cheryl12@adventure-works.com"/>
    <s v="cheryl12"/>
    <x v="3"/>
    <x v="1"/>
    <x v="0"/>
    <s v="Bachelors"/>
    <x v="1"/>
    <x v="0"/>
  </r>
  <r>
    <n v="13111"/>
    <s v="MRS."/>
    <x v="94"/>
    <s v="BUTLER"/>
    <s v="MRS. HANNAH BUTLER"/>
    <x v="108"/>
    <n v="1961"/>
    <x v="0"/>
    <x v="0"/>
    <x v="1"/>
    <x v="1"/>
    <s v="hannah36@adventure-works.com"/>
    <s v="hannah36"/>
    <x v="3"/>
    <x v="1"/>
    <x v="0"/>
    <s v="Partial College"/>
    <x v="2"/>
    <x v="0"/>
  </r>
  <r>
    <n v="13112"/>
    <s v="MRS."/>
    <x v="95"/>
    <s v="GAO"/>
    <s v="MRS. BIANCA GAO"/>
    <x v="109"/>
    <n v="1961"/>
    <x v="0"/>
    <x v="0"/>
    <x v="1"/>
    <x v="1"/>
    <s v="bianca11@adventure-works.com"/>
    <s v="bianca11"/>
    <x v="3"/>
    <x v="1"/>
    <x v="0"/>
    <s v="Partial College"/>
    <x v="2"/>
    <x v="0"/>
  </r>
  <r>
    <n v="13113"/>
    <s v="MR."/>
    <x v="96"/>
    <s v="SANCHEZ"/>
    <s v="MR. BRYANT SANCHEZ"/>
    <x v="110"/>
    <n v="1966"/>
    <x v="0"/>
    <x v="0"/>
    <x v="0"/>
    <x v="0"/>
    <s v="bryant19@adventure-works.com"/>
    <s v="bryant19"/>
    <x v="5"/>
    <x v="0"/>
    <x v="2"/>
    <s v="Bachelors"/>
    <x v="1"/>
    <x v="1"/>
  </r>
  <r>
    <n v="13114"/>
    <s v="MS."/>
    <x v="97"/>
    <s v="ZHANG"/>
    <s v="MS. CLAUDIA ZHANG"/>
    <x v="111"/>
    <n v="1966"/>
    <x v="0"/>
    <x v="0"/>
    <x v="1"/>
    <x v="1"/>
    <s v="claudia0@adventure-works.com"/>
    <s v="claudia0"/>
    <x v="5"/>
    <x v="0"/>
    <x v="2"/>
    <s v="Bachelors"/>
    <x v="1"/>
    <x v="1"/>
  </r>
  <r>
    <n v="13115"/>
    <s v="MR."/>
    <x v="0"/>
    <s v="WU"/>
    <s v="MR. CLARENCE WU"/>
    <x v="112"/>
    <n v="1966"/>
    <x v="0"/>
    <x v="0"/>
    <x v="0"/>
    <x v="0"/>
    <s v="clarence2@adventure-works.com"/>
    <s v="clarence2"/>
    <x v="6"/>
    <x v="0"/>
    <x v="2"/>
    <s v="Graduate Degree"/>
    <x v="0"/>
    <x v="0"/>
  </r>
  <r>
    <n v="13116"/>
    <s v="MR."/>
    <x v="98"/>
    <s v="DIAZ"/>
    <s v="MR. TYRONE DIAZ"/>
    <x v="113"/>
    <n v="1966"/>
    <x v="0"/>
    <x v="0"/>
    <x v="0"/>
    <x v="0"/>
    <s v="tyrone2@adventure-works.com"/>
    <s v="tyrone2"/>
    <x v="6"/>
    <x v="0"/>
    <x v="2"/>
    <s v="Graduate Degree"/>
    <x v="0"/>
    <x v="1"/>
  </r>
  <r>
    <n v="13117"/>
    <s v="MS."/>
    <x v="99"/>
    <s v="RODRIGUEZ"/>
    <s v="MS. EVELYN RODRIGUEZ"/>
    <x v="114"/>
    <n v="1966"/>
    <x v="0"/>
    <x v="0"/>
    <x v="1"/>
    <x v="1"/>
    <s v="evelyn20@adventure-works.com"/>
    <s v="evelyn20"/>
    <x v="6"/>
    <x v="0"/>
    <x v="2"/>
    <s v="Graduate Degree"/>
    <x v="0"/>
    <x v="1"/>
  </r>
  <r>
    <n v="13118"/>
    <s v="MRS."/>
    <x v="64"/>
    <s v="COOK"/>
    <s v="MRS. SYDNEY COOK"/>
    <x v="115"/>
    <n v="1960"/>
    <x v="1"/>
    <x v="1"/>
    <x v="1"/>
    <x v="1"/>
    <s v="sydney5@adventure-works.com"/>
    <s v="sydney5"/>
    <x v="3"/>
    <x v="1"/>
    <x v="0"/>
    <s v="Partial College"/>
    <x v="2"/>
    <x v="0"/>
  </r>
  <r>
    <n v="13119"/>
    <s v="MS."/>
    <x v="100"/>
    <s v="GUO"/>
    <s v="MS. JACLYN GUO"/>
    <x v="116"/>
    <n v="1965"/>
    <x v="0"/>
    <x v="0"/>
    <x v="1"/>
    <x v="1"/>
    <s v="jaclyn19@adventure-works.com"/>
    <s v="jaclyn19"/>
    <x v="4"/>
    <x v="1"/>
    <x v="2"/>
    <s v="Bachelors"/>
    <x v="1"/>
    <x v="1"/>
  </r>
  <r>
    <n v="13120"/>
    <s v="MR."/>
    <x v="101"/>
    <s v="WEBER"/>
    <s v="MR. LEVI WEBER"/>
    <x v="7"/>
    <n v="1965"/>
    <x v="1"/>
    <x v="1"/>
    <x v="0"/>
    <x v="0"/>
    <s v="levi3@adventure-works.com"/>
    <s v="levi3"/>
    <x v="1"/>
    <x v="1"/>
    <x v="1"/>
    <s v="Bachelors"/>
    <x v="1"/>
    <x v="0"/>
  </r>
  <r>
    <n v="13121"/>
    <s v="MRS."/>
    <x v="102"/>
    <s v="JIMENEZ"/>
    <s v="MRS. LATASHA JIMENEZ"/>
    <x v="117"/>
    <n v="1965"/>
    <x v="1"/>
    <x v="1"/>
    <x v="1"/>
    <x v="1"/>
    <s v="latasha5@adventure-works.com"/>
    <s v="latasha5"/>
    <x v="1"/>
    <x v="1"/>
    <x v="1"/>
    <s v="Bachelors"/>
    <x v="1"/>
    <x v="0"/>
  </r>
  <r>
    <n v="13122"/>
    <s v="MS."/>
    <x v="103"/>
    <s v="COX"/>
    <s v="MS. CATHERINE COX"/>
    <x v="118"/>
    <n v="1965"/>
    <x v="1"/>
    <x v="1"/>
    <x v="1"/>
    <x v="1"/>
    <s v="catherine9@adventure-works.com"/>
    <s v="catherine9"/>
    <x v="1"/>
    <x v="1"/>
    <x v="2"/>
    <s v="Bachelors"/>
    <x v="1"/>
    <x v="0"/>
  </r>
  <r>
    <n v="13123"/>
    <s v="MS."/>
    <x v="104"/>
    <s v="RAJI"/>
    <s v="MS. KELLI RAJI"/>
    <x v="119"/>
    <n v="1964"/>
    <x v="0"/>
    <x v="0"/>
    <x v="1"/>
    <x v="1"/>
    <s v="kelli44@adventure-works.com"/>
    <s v="kelli44"/>
    <x v="4"/>
    <x v="1"/>
    <x v="2"/>
    <s v="Bachelors"/>
    <x v="1"/>
    <x v="1"/>
  </r>
  <r>
    <n v="13124"/>
    <s v="MR."/>
    <x v="105"/>
    <s v="VANCE"/>
    <s v="MR. MARCO VANCE"/>
    <x v="120"/>
    <n v="1964"/>
    <x v="0"/>
    <x v="0"/>
    <x v="0"/>
    <x v="0"/>
    <s v="marco4@adventure-works.com"/>
    <s v="marco4"/>
    <x v="4"/>
    <x v="1"/>
    <x v="2"/>
    <s v="Bachelors"/>
    <x v="1"/>
    <x v="1"/>
  </r>
  <r>
    <n v="13125"/>
    <s v="MR."/>
    <x v="68"/>
    <s v="HU"/>
    <s v="MR. ALEJANDRO HU"/>
    <x v="121"/>
    <n v="1964"/>
    <x v="0"/>
    <x v="0"/>
    <x v="0"/>
    <x v="0"/>
    <s v="alejandro23@adventure-works.com"/>
    <s v="alejandro23"/>
    <x v="4"/>
    <x v="1"/>
    <x v="2"/>
    <s v="Bachelors"/>
    <x v="1"/>
    <x v="1"/>
  </r>
  <r>
    <n v="13126"/>
    <s v="MS."/>
    <x v="106"/>
    <s v="SURI"/>
    <s v="MS. LYDIA SURI"/>
    <x v="122"/>
    <n v="1964"/>
    <x v="0"/>
    <x v="0"/>
    <x v="1"/>
    <x v="1"/>
    <s v="lydia0@adventure-works.com"/>
    <s v="lydia0"/>
    <x v="4"/>
    <x v="1"/>
    <x v="2"/>
    <s v="Bachelors"/>
    <x v="1"/>
    <x v="1"/>
  </r>
  <r>
    <n v="13127"/>
    <s v="MR."/>
    <x v="107"/>
    <s v="FERNANDEZ"/>
    <s v="MR. SHANE FERNANDEZ"/>
    <x v="123"/>
    <n v="1964"/>
    <x v="0"/>
    <x v="0"/>
    <x v="0"/>
    <x v="0"/>
    <s v="shane18@adventure-works.com"/>
    <s v="shane18"/>
    <x v="4"/>
    <x v="1"/>
    <x v="2"/>
    <s v="Bachelors"/>
    <x v="1"/>
    <x v="1"/>
  </r>
  <r>
    <n v="13128"/>
    <s v="MS."/>
    <x v="25"/>
    <s v="WEST"/>
    <s v="MS. COLLEEN WEST"/>
    <x v="124"/>
    <n v="1964"/>
    <x v="0"/>
    <x v="0"/>
    <x v="1"/>
    <x v="1"/>
    <s v="colleen1@adventure-works.com"/>
    <s v="colleen1"/>
    <x v="4"/>
    <x v="1"/>
    <x v="2"/>
    <s v="Bachelors"/>
    <x v="1"/>
    <x v="1"/>
  </r>
  <r>
    <n v="13129"/>
    <s v="MS."/>
    <x v="108"/>
    <s v="RAMOS"/>
    <s v="MS. JOY RAMOS"/>
    <x v="125"/>
    <n v="1964"/>
    <x v="0"/>
    <x v="0"/>
    <x v="1"/>
    <x v="1"/>
    <s v="joy16@adventure-works.com"/>
    <s v="joy16"/>
    <x v="4"/>
    <x v="1"/>
    <x v="2"/>
    <s v="Bachelors"/>
    <x v="1"/>
    <x v="0"/>
  </r>
  <r>
    <n v="13130"/>
    <s v="MR."/>
    <x v="27"/>
    <s v="MILLER"/>
    <s v="MR. DALTON MILLER"/>
    <x v="126"/>
    <n v="1959"/>
    <x v="1"/>
    <x v="1"/>
    <x v="0"/>
    <x v="0"/>
    <s v="dalton5@adventure-works.com"/>
    <s v="dalton5"/>
    <x v="2"/>
    <x v="1"/>
    <x v="0"/>
    <s v="Bachelors"/>
    <x v="1"/>
    <x v="0"/>
  </r>
  <r>
    <n v="13131"/>
    <s v="MRS."/>
    <x v="109"/>
    <s v="DIAZ"/>
    <s v="MRS. BRIANA DIAZ"/>
    <x v="88"/>
    <n v="1959"/>
    <x v="1"/>
    <x v="1"/>
    <x v="1"/>
    <x v="1"/>
    <s v="briana3@adventure-works.com"/>
    <s v="briana3"/>
    <x v="2"/>
    <x v="1"/>
    <x v="0"/>
    <s v="Bachelors"/>
    <x v="1"/>
    <x v="0"/>
  </r>
  <r>
    <n v="13132"/>
    <s v="MR."/>
    <x v="110"/>
    <s v="VAZQUEZ"/>
    <s v="MR. CASEY VAZQUEZ"/>
    <x v="127"/>
    <n v="1959"/>
    <x v="0"/>
    <x v="0"/>
    <x v="0"/>
    <x v="0"/>
    <s v="casey38@adventure-works.com"/>
    <s v="casey38"/>
    <x v="2"/>
    <x v="1"/>
    <x v="0"/>
    <s v="Bachelors"/>
    <x v="1"/>
    <x v="0"/>
  </r>
  <r>
    <n v="13133"/>
    <s v="MR."/>
    <x v="111"/>
    <s v="KENNEDY"/>
    <s v="MR. DEVON KENNEDY"/>
    <x v="128"/>
    <n v="1959"/>
    <x v="0"/>
    <x v="0"/>
    <x v="0"/>
    <x v="0"/>
    <s v="devon5@adventure-works.com"/>
    <s v="devon5"/>
    <x v="5"/>
    <x v="0"/>
    <x v="1"/>
    <s v="Bachelors"/>
    <x v="1"/>
    <x v="0"/>
  </r>
  <r>
    <n v="13134"/>
    <s v="MRS."/>
    <x v="112"/>
    <s v="MORGAN"/>
    <s v="MRS. SARA MORGAN"/>
    <x v="129"/>
    <n v="1934"/>
    <x v="0"/>
    <x v="0"/>
    <x v="1"/>
    <x v="1"/>
    <s v="sara24@adventure-works.com"/>
    <s v="sara24"/>
    <x v="12"/>
    <x v="1"/>
    <x v="0"/>
    <s v="Graduate Degree"/>
    <x v="0"/>
    <x v="0"/>
  </r>
  <r>
    <n v="13135"/>
    <s v="MR."/>
    <x v="113"/>
    <s v="RAI"/>
    <s v="MR. JOHNNY RAI"/>
    <x v="130"/>
    <n v="1957"/>
    <x v="0"/>
    <x v="0"/>
    <x v="0"/>
    <x v="0"/>
    <s v="johnny19@adventure-works.com"/>
    <s v="johnny19"/>
    <x v="1"/>
    <x v="1"/>
    <x v="0"/>
    <s v="Partial College"/>
    <x v="2"/>
    <x v="0"/>
  </r>
  <r>
    <n v="13136"/>
    <s v="MRS."/>
    <x v="34"/>
    <s v="MARTINEZ"/>
    <s v="MRS. VIRGINIA MARTINEZ"/>
    <x v="131"/>
    <n v="1936"/>
    <x v="1"/>
    <x v="1"/>
    <x v="1"/>
    <x v="1"/>
    <s v="virginia20@adventure-works.com"/>
    <s v="virginia20"/>
    <x v="7"/>
    <x v="2"/>
    <x v="3"/>
    <s v="Partial College"/>
    <x v="3"/>
    <x v="1"/>
  </r>
  <r>
    <n v="13137"/>
    <s v="MRS."/>
    <x v="114"/>
    <s v="SIMMONS"/>
    <s v="MRS. JACQUELINE SIMMONS"/>
    <x v="132"/>
    <n v="1960"/>
    <x v="1"/>
    <x v="1"/>
    <x v="1"/>
    <x v="1"/>
    <s v="jacqueline16@adventure-works.com"/>
    <s v="jacqueline16"/>
    <x v="4"/>
    <x v="1"/>
    <x v="1"/>
    <s v="Partial College"/>
    <x v="2"/>
    <x v="1"/>
  </r>
  <r>
    <n v="13138"/>
    <m/>
    <x v="115"/>
    <s v="ALONSO"/>
    <s v=" TERESA ALONSO"/>
    <x v="133"/>
    <n v="1960"/>
    <x v="1"/>
    <x v="1"/>
    <x v="2"/>
    <x v="1"/>
    <s v="teresa8@adventure-works.com"/>
    <s v="teresa8"/>
    <x v="4"/>
    <x v="1"/>
    <x v="1"/>
    <s v="Partial College"/>
    <x v="2"/>
    <x v="0"/>
  </r>
  <r>
    <n v="13139"/>
    <s v="MRS."/>
    <x v="116"/>
    <s v="PEREZ"/>
    <s v="MRS. CARMEN PEREZ"/>
    <x v="134"/>
    <n v="1956"/>
    <x v="0"/>
    <x v="0"/>
    <x v="1"/>
    <x v="1"/>
    <s v="carmen3@adventure-works.com"/>
    <s v="carmen3"/>
    <x v="4"/>
    <x v="1"/>
    <x v="0"/>
    <s v="Partial College"/>
    <x v="2"/>
    <x v="1"/>
  </r>
  <r>
    <n v="13141"/>
    <s v="MR."/>
    <x v="117"/>
    <s v="HERNANDEZ"/>
    <s v="MR. WALTER HERNANDEZ"/>
    <x v="135"/>
    <n v="1953"/>
    <x v="1"/>
    <x v="1"/>
    <x v="0"/>
    <x v="0"/>
    <s v="walter16@adventure-works.com"/>
    <s v="walter16"/>
    <x v="10"/>
    <x v="2"/>
    <x v="3"/>
    <s v="Bachelors"/>
    <x v="0"/>
    <x v="0"/>
  </r>
  <r>
    <n v="13142"/>
    <s v="MR."/>
    <x v="16"/>
    <s v="MOORE"/>
    <s v="MR. XAVIER MOORE"/>
    <x v="136"/>
    <n v="1975"/>
    <x v="1"/>
    <x v="1"/>
    <x v="0"/>
    <x v="0"/>
    <s v="xavier6@adventure-works.com"/>
    <s v="xavier6"/>
    <x v="10"/>
    <x v="2"/>
    <x v="2"/>
    <s v="High School"/>
    <x v="2"/>
    <x v="0"/>
  </r>
  <r>
    <n v="13143"/>
    <s v="MS."/>
    <x v="94"/>
    <s v="JACKSON"/>
    <s v="MS. HANNAH JACKSON"/>
    <x v="137"/>
    <n v="1975"/>
    <x v="1"/>
    <x v="1"/>
    <x v="1"/>
    <x v="1"/>
    <s v="hannah11@adventure-works.com"/>
    <s v="hannah11"/>
    <x v="10"/>
    <x v="2"/>
    <x v="2"/>
    <s v="High School"/>
    <x v="2"/>
    <x v="0"/>
  </r>
  <r>
    <n v="13144"/>
    <s v="MS."/>
    <x v="18"/>
    <s v="STEWART"/>
    <s v="MS. DESTINY STEWART"/>
    <x v="138"/>
    <n v="1976"/>
    <x v="0"/>
    <x v="0"/>
    <x v="1"/>
    <x v="1"/>
    <s v="destiny23@adventure-works.com"/>
    <s v="destiny23"/>
    <x v="10"/>
    <x v="2"/>
    <x v="2"/>
    <s v="High School"/>
    <x v="2"/>
    <x v="1"/>
  </r>
  <r>
    <n v="13145"/>
    <s v="MR."/>
    <x v="118"/>
    <s v="XU"/>
    <s v="MR. GILBERT XU"/>
    <x v="139"/>
    <n v="1976"/>
    <x v="1"/>
    <x v="1"/>
    <x v="0"/>
    <x v="0"/>
    <s v="gilbert9@adventure-works.com"/>
    <s v="gilbert9"/>
    <x v="10"/>
    <x v="2"/>
    <x v="2"/>
    <s v="High School"/>
    <x v="2"/>
    <x v="0"/>
  </r>
  <r>
    <n v="13146"/>
    <s v="MS."/>
    <x v="119"/>
    <s v="RAMIREZ"/>
    <s v="MS. GABRIELLA RAMIREZ"/>
    <x v="140"/>
    <n v="1976"/>
    <x v="0"/>
    <x v="0"/>
    <x v="1"/>
    <x v="1"/>
    <s v="gabriella4@adventure-works.com"/>
    <s v="gabriella4"/>
    <x v="10"/>
    <x v="2"/>
    <x v="2"/>
    <s v="High School"/>
    <x v="2"/>
    <x v="1"/>
  </r>
  <r>
    <n v="13147"/>
    <s v="MR."/>
    <x v="120"/>
    <s v="LIN"/>
    <s v="MR. CEDRIC LIN"/>
    <x v="141"/>
    <n v="1980"/>
    <x v="1"/>
    <x v="1"/>
    <x v="0"/>
    <x v="0"/>
    <s v="cedric8@adventure-works.com"/>
    <s v="cedric8"/>
    <x v="7"/>
    <x v="2"/>
    <x v="2"/>
    <s v="High School"/>
    <x v="2"/>
    <x v="1"/>
  </r>
  <r>
    <n v="13148"/>
    <s v="MR."/>
    <x v="121"/>
    <s v="ANDERSON"/>
    <s v="MR. TYLER ANDERSON"/>
    <x v="142"/>
    <n v="1980"/>
    <x v="1"/>
    <x v="1"/>
    <x v="0"/>
    <x v="0"/>
    <s v="tyler18@adventure-works.com"/>
    <s v="tyler18"/>
    <x v="7"/>
    <x v="2"/>
    <x v="2"/>
    <s v="High School"/>
    <x v="2"/>
    <x v="0"/>
  </r>
  <r>
    <n v="13149"/>
    <s v="MRS."/>
    <x v="122"/>
    <s v="FERRIER"/>
    <s v="MRS. LINDA FERRIER"/>
    <x v="143"/>
    <n v="1946"/>
    <x v="1"/>
    <x v="1"/>
    <x v="1"/>
    <x v="1"/>
    <s v="linda23@adventure-works.com"/>
    <s v="linda23"/>
    <x v="8"/>
    <x v="2"/>
    <x v="1"/>
    <s v="High School"/>
    <x v="2"/>
    <x v="0"/>
  </r>
  <r>
    <n v="13150"/>
    <s v="MRS."/>
    <x v="123"/>
    <s v="YANG"/>
    <s v="MRS. LACEY YANG"/>
    <x v="144"/>
    <n v="1937"/>
    <x v="0"/>
    <x v="0"/>
    <x v="1"/>
    <x v="1"/>
    <s v="lacey17@adventure-works.com"/>
    <s v="lacey17"/>
    <x v="7"/>
    <x v="2"/>
    <x v="3"/>
    <s v="Partial College"/>
    <x v="3"/>
    <x v="0"/>
  </r>
  <r>
    <n v="13151"/>
    <s v="MR."/>
    <x v="48"/>
    <s v="MOORE"/>
    <s v="MR. ETHAN MOORE"/>
    <x v="145"/>
    <n v="1978"/>
    <x v="0"/>
    <x v="0"/>
    <x v="0"/>
    <x v="0"/>
    <s v="ethan41@adventure-works.com"/>
    <s v="ethan41"/>
    <x v="10"/>
    <x v="2"/>
    <x v="2"/>
    <s v="High School"/>
    <x v="2"/>
    <x v="0"/>
  </r>
  <r>
    <n v="13152"/>
    <s v="MS."/>
    <x v="124"/>
    <s v="BUTLER"/>
    <s v="MS. GABRIELLE BUTLER"/>
    <x v="146"/>
    <n v="1978"/>
    <x v="1"/>
    <x v="1"/>
    <x v="1"/>
    <x v="1"/>
    <s v="gabrielle36@adventure-works.com"/>
    <s v="gabrielle36"/>
    <x v="10"/>
    <x v="2"/>
    <x v="2"/>
    <s v="High School"/>
    <x v="2"/>
    <x v="0"/>
  </r>
  <r>
    <n v="13153"/>
    <s v="MR."/>
    <x v="125"/>
    <s v="HILL"/>
    <s v="MR. JACK HILL"/>
    <x v="147"/>
    <n v="1979"/>
    <x v="0"/>
    <x v="0"/>
    <x v="0"/>
    <x v="0"/>
    <s v="jack49@adventure-works.com"/>
    <s v="jack49"/>
    <x v="10"/>
    <x v="2"/>
    <x v="2"/>
    <s v="High School"/>
    <x v="2"/>
    <x v="0"/>
  </r>
  <r>
    <n v="11000"/>
    <s v="MR."/>
    <x v="126"/>
    <s v="YANG"/>
    <s v="MR. JON YANG"/>
    <x v="148"/>
    <n v="1966"/>
    <x v="1"/>
    <x v="1"/>
    <x v="0"/>
    <x v="0"/>
    <s v="jon24@adventure-works.com"/>
    <s v="jon24"/>
    <x v="2"/>
    <x v="1"/>
    <x v="3"/>
    <s v="Bachelors"/>
    <x v="1"/>
    <x v="0"/>
  </r>
  <r>
    <n v="11001"/>
    <s v="MR."/>
    <x v="55"/>
    <s v="HUANG"/>
    <s v="MR. EUGENE HUANG"/>
    <x v="149"/>
    <n v="1965"/>
    <x v="0"/>
    <x v="0"/>
    <x v="0"/>
    <x v="0"/>
    <s v="eugene10@adventure-works.com"/>
    <s v="eugene10"/>
    <x v="3"/>
    <x v="1"/>
    <x v="4"/>
    <s v="Bachelors"/>
    <x v="1"/>
    <x v="1"/>
  </r>
  <r>
    <n v="11002"/>
    <s v="MR."/>
    <x v="127"/>
    <s v="TORRES"/>
    <s v="MR. RUBEN TORRES"/>
    <x v="150"/>
    <n v="1965"/>
    <x v="1"/>
    <x v="1"/>
    <x v="0"/>
    <x v="0"/>
    <s v="ruben35@adventure-works.com"/>
    <s v="ruben35"/>
    <x v="3"/>
    <x v="1"/>
    <x v="4"/>
    <s v="Bachelors"/>
    <x v="1"/>
    <x v="0"/>
  </r>
  <r>
    <n v="11003"/>
    <s v="MS."/>
    <x v="128"/>
    <s v="ZHU"/>
    <s v="MS. CHRISTY ZHU"/>
    <x v="151"/>
    <n v="1968"/>
    <x v="0"/>
    <x v="0"/>
    <x v="1"/>
    <x v="1"/>
    <s v="christy12@adventure-works.com"/>
    <s v="christy12"/>
    <x v="4"/>
    <x v="1"/>
    <x v="2"/>
    <s v="Bachelors"/>
    <x v="1"/>
    <x v="1"/>
  </r>
  <r>
    <n v="11004"/>
    <s v="MRS."/>
    <x v="79"/>
    <s v="JOHNSON"/>
    <s v="MRS. ELIZABETH JOHNSON"/>
    <x v="152"/>
    <n v="1968"/>
    <x v="0"/>
    <x v="0"/>
    <x v="1"/>
    <x v="1"/>
    <s v="elizabeth5@adventure-works.com"/>
    <s v="elizabeth5"/>
    <x v="1"/>
    <x v="1"/>
    <x v="1"/>
    <s v="Bachelors"/>
    <x v="1"/>
    <x v="0"/>
  </r>
  <r>
    <n v="11005"/>
    <s v="MR."/>
    <x v="129"/>
    <s v="RUIZ"/>
    <s v="MR. JULIO RUIZ"/>
    <x v="153"/>
    <n v="1965"/>
    <x v="0"/>
    <x v="0"/>
    <x v="0"/>
    <x v="0"/>
    <s v="julio1@adventure-works.com"/>
    <s v="julio1"/>
    <x v="4"/>
    <x v="1"/>
    <x v="2"/>
    <s v="Bachelors"/>
    <x v="1"/>
    <x v="0"/>
  </r>
  <r>
    <n v="11007"/>
    <s v="MR."/>
    <x v="105"/>
    <s v="MEHTA"/>
    <s v="MR. MARCO MEHTA"/>
    <x v="154"/>
    <n v="1964"/>
    <x v="1"/>
    <x v="1"/>
    <x v="0"/>
    <x v="0"/>
    <s v="marco14@adventure-works.com"/>
    <s v="marco14"/>
    <x v="3"/>
    <x v="1"/>
    <x v="4"/>
    <s v="Bachelors"/>
    <x v="1"/>
    <x v="0"/>
  </r>
  <r>
    <n v="11008"/>
    <s v="MRS."/>
    <x v="130"/>
    <s v="VERHOFF"/>
    <s v="MRS. ROBIN VERHOFF"/>
    <x v="155"/>
    <n v="1964"/>
    <x v="0"/>
    <x v="0"/>
    <x v="1"/>
    <x v="1"/>
    <s v="rob4@adventure-works.com"/>
    <s v="rob4"/>
    <x v="3"/>
    <x v="1"/>
    <x v="5"/>
    <s v="Bachelors"/>
    <x v="1"/>
    <x v="0"/>
  </r>
  <r>
    <n v="11009"/>
    <s v="MR."/>
    <x v="131"/>
    <s v="CARLSON"/>
    <s v="MR. SHANNON CARLSON"/>
    <x v="156"/>
    <n v="1964"/>
    <x v="0"/>
    <x v="0"/>
    <x v="0"/>
    <x v="0"/>
    <s v="shannon38@adventure-works.com"/>
    <s v="shannon38"/>
    <x v="4"/>
    <x v="1"/>
    <x v="2"/>
    <s v="Bachelors"/>
    <x v="1"/>
    <x v="1"/>
  </r>
  <r>
    <n v="11010"/>
    <s v="MS."/>
    <x v="132"/>
    <s v="SUAREZ"/>
    <s v="MS. JACQUELYN SUAREZ"/>
    <x v="157"/>
    <n v="1964"/>
    <x v="0"/>
    <x v="0"/>
    <x v="1"/>
    <x v="1"/>
    <s v="jacquelyn20@adventure-works.com"/>
    <s v="jacquelyn20"/>
    <x v="4"/>
    <x v="1"/>
    <x v="2"/>
    <s v="Bachelors"/>
    <x v="1"/>
    <x v="1"/>
  </r>
  <r>
    <n v="11011"/>
    <s v="MR."/>
    <x v="92"/>
    <s v="LU"/>
    <s v="MR. CURTIS LU"/>
    <x v="158"/>
    <n v="1963"/>
    <x v="1"/>
    <x v="1"/>
    <x v="0"/>
    <x v="0"/>
    <s v="curtis9@adventure-works.com"/>
    <s v="curtis9"/>
    <x v="3"/>
    <x v="1"/>
    <x v="5"/>
    <s v="Bachelors"/>
    <x v="1"/>
    <x v="0"/>
  </r>
  <r>
    <n v="11012"/>
    <s v="MRS."/>
    <x v="133"/>
    <s v="WALKER"/>
    <s v="MRS. LAUREN WALKER"/>
    <x v="159"/>
    <n v="1968"/>
    <x v="1"/>
    <x v="1"/>
    <x v="1"/>
    <x v="1"/>
    <s v="lauren41@adventure-works.com"/>
    <s v="lauren41"/>
    <x v="5"/>
    <x v="0"/>
    <x v="3"/>
    <s v="Bachelors"/>
    <x v="0"/>
    <x v="0"/>
  </r>
  <r>
    <n v="11013"/>
    <s v="MR."/>
    <x v="134"/>
    <s v="JENKINS"/>
    <s v="MR. IAN JENKINS"/>
    <x v="160"/>
    <n v="1968"/>
    <x v="1"/>
    <x v="1"/>
    <x v="0"/>
    <x v="0"/>
    <s v="ian47@adventure-works.com"/>
    <s v="ian47"/>
    <x v="5"/>
    <x v="0"/>
    <x v="3"/>
    <s v="Bachelors"/>
    <x v="0"/>
    <x v="0"/>
  </r>
  <r>
    <n v="11014"/>
    <s v="MRS."/>
    <x v="64"/>
    <s v="BENNETT"/>
    <s v="MRS. SYDNEY BENNETT"/>
    <x v="161"/>
    <n v="1968"/>
    <x v="0"/>
    <x v="0"/>
    <x v="1"/>
    <x v="1"/>
    <s v="sydney23@adventure-works.com"/>
    <s v="sydney23"/>
    <x v="5"/>
    <x v="0"/>
    <x v="4"/>
    <s v="Bachelors"/>
    <x v="0"/>
    <x v="1"/>
  </r>
  <r>
    <n v="11015"/>
    <s v="MS."/>
    <x v="135"/>
    <s v="YOUNG"/>
    <s v="MS. CHLOE YOUNG"/>
    <x v="162"/>
    <n v="1979"/>
    <x v="0"/>
    <x v="0"/>
    <x v="1"/>
    <x v="1"/>
    <s v="chloe23@adventure-works.com"/>
    <s v="chloe23"/>
    <x v="7"/>
    <x v="2"/>
    <x v="2"/>
    <s v="Partial College"/>
    <x v="2"/>
    <x v="1"/>
  </r>
  <r>
    <n v="11016"/>
    <s v="MR."/>
    <x v="136"/>
    <s v="HILL"/>
    <s v="MR. WYATT HILL"/>
    <x v="163"/>
    <n v="1979"/>
    <x v="1"/>
    <x v="1"/>
    <x v="0"/>
    <x v="0"/>
    <s v="wyatt32@adventure-works.com"/>
    <s v="wyatt32"/>
    <x v="7"/>
    <x v="2"/>
    <x v="2"/>
    <s v="Partial College"/>
    <x v="2"/>
    <x v="0"/>
  </r>
  <r>
    <n v="11017"/>
    <s v="MRS."/>
    <x v="131"/>
    <s v="WANG"/>
    <s v="MRS. SHANNON WANG"/>
    <x v="164"/>
    <n v="1944"/>
    <x v="0"/>
    <x v="0"/>
    <x v="1"/>
    <x v="1"/>
    <s v="shannon1@adventure-works.com"/>
    <s v="shannon1"/>
    <x v="9"/>
    <x v="2"/>
    <x v="5"/>
    <s v="High School"/>
    <x v="2"/>
    <x v="0"/>
  </r>
  <r>
    <n v="11018"/>
    <s v="MR."/>
    <x v="0"/>
    <s v="RAI"/>
    <s v="MR. CLARENCE RAI"/>
    <x v="165"/>
    <n v="1944"/>
    <x v="0"/>
    <x v="0"/>
    <x v="0"/>
    <x v="0"/>
    <s v="clarence32@adventure-works.com"/>
    <s v="clarence32"/>
    <x v="7"/>
    <x v="2"/>
    <x v="3"/>
    <s v="Partial College"/>
    <x v="3"/>
    <x v="0"/>
  </r>
  <r>
    <n v="11019"/>
    <s v="MR."/>
    <x v="137"/>
    <s v="LAL"/>
    <s v="MR. LUKE LAL"/>
    <x v="166"/>
    <n v="1978"/>
    <x v="0"/>
    <x v="0"/>
    <x v="0"/>
    <x v="0"/>
    <s v="luke18@adventure-works.com"/>
    <s v="luke18"/>
    <x v="10"/>
    <x v="2"/>
    <x v="2"/>
    <s v="High School"/>
    <x v="2"/>
    <x v="1"/>
  </r>
  <r>
    <n v="11020"/>
    <s v="MR."/>
    <x v="84"/>
    <s v="KING"/>
    <s v="MR. JORDAN KING"/>
    <x v="167"/>
    <n v="1978"/>
    <x v="0"/>
    <x v="0"/>
    <x v="0"/>
    <x v="0"/>
    <s v="jordan73@adventure-works.com"/>
    <s v="jordan73"/>
    <x v="10"/>
    <x v="2"/>
    <x v="2"/>
    <s v="High School"/>
    <x v="2"/>
    <x v="1"/>
  </r>
  <r>
    <n v="11021"/>
    <s v="MS."/>
    <x v="18"/>
    <s v="WILSON"/>
    <s v="MS. DESTINY WILSON"/>
    <x v="168"/>
    <n v="1978"/>
    <x v="0"/>
    <x v="0"/>
    <x v="1"/>
    <x v="1"/>
    <s v="destiny7@adventure-works.com"/>
    <s v="destiny7"/>
    <x v="10"/>
    <x v="2"/>
    <x v="2"/>
    <s v="Partial College"/>
    <x v="2"/>
    <x v="1"/>
  </r>
  <r>
    <n v="11022"/>
    <s v="MR."/>
    <x v="48"/>
    <s v="ZHANG"/>
    <s v="MR. ETHAN ZHANG"/>
    <x v="169"/>
    <n v="1978"/>
    <x v="1"/>
    <x v="1"/>
    <x v="0"/>
    <x v="0"/>
    <s v="ethan20@adventure-works.com"/>
    <s v="ethan20"/>
    <x v="10"/>
    <x v="2"/>
    <x v="2"/>
    <s v="Partial College"/>
    <x v="2"/>
    <x v="0"/>
  </r>
  <r>
    <n v="11023"/>
    <s v="MR."/>
    <x v="138"/>
    <s v="EDWARDS"/>
    <s v="MR. SETH EDWARDS"/>
    <x v="170"/>
    <n v="1978"/>
    <x v="1"/>
    <x v="1"/>
    <x v="0"/>
    <x v="0"/>
    <s v="seth46@adventure-works.com"/>
    <s v="seth46"/>
    <x v="10"/>
    <x v="2"/>
    <x v="2"/>
    <s v="Partial College"/>
    <x v="2"/>
    <x v="0"/>
  </r>
  <r>
    <n v="11024"/>
    <s v="MR."/>
    <x v="139"/>
    <s v="XIE"/>
    <s v="MR. RUSSELL XIE"/>
    <x v="171"/>
    <n v="1978"/>
    <x v="1"/>
    <x v="1"/>
    <x v="0"/>
    <x v="0"/>
    <s v="russell7@adventure-works.com"/>
    <s v="russell7"/>
    <x v="3"/>
    <x v="1"/>
    <x v="2"/>
    <s v="Partial College"/>
    <x v="2"/>
    <x v="0"/>
  </r>
  <r>
    <n v="11025"/>
    <m/>
    <x v="68"/>
    <s v="BECK"/>
    <s v=" ALEJANDRO BECK"/>
    <x v="172"/>
    <n v="1945"/>
    <x v="1"/>
    <x v="1"/>
    <x v="2"/>
    <x v="1"/>
    <s v="alejandro45@adventure-works.com"/>
    <s v="alejandro45"/>
    <x v="8"/>
    <x v="2"/>
    <x v="3"/>
    <s v="Partial High School"/>
    <x v="3"/>
    <x v="0"/>
  </r>
  <r>
    <n v="11026"/>
    <s v="MR."/>
    <x v="140"/>
    <s v="SAI"/>
    <s v="MR. HAROLD SAI"/>
    <x v="173"/>
    <n v="1946"/>
    <x v="0"/>
    <x v="0"/>
    <x v="0"/>
    <x v="0"/>
    <s v="harold3@adventure-works.com"/>
    <s v="harold3"/>
    <x v="7"/>
    <x v="2"/>
    <x v="3"/>
    <s v="Partial College"/>
    <x v="3"/>
    <x v="1"/>
  </r>
  <r>
    <n v="11027"/>
    <s v="MR."/>
    <x v="141"/>
    <s v="ZHAO"/>
    <s v="MR. JESSIE ZHAO"/>
    <x v="174"/>
    <n v="1946"/>
    <x v="1"/>
    <x v="1"/>
    <x v="0"/>
    <x v="0"/>
    <s v="jessie16@adventure-works.com"/>
    <s v="jessie16"/>
    <x v="7"/>
    <x v="2"/>
    <x v="3"/>
    <s v="Partial College"/>
    <x v="3"/>
    <x v="0"/>
  </r>
  <r>
    <n v="11028"/>
    <s v="MRS."/>
    <x v="2"/>
    <s v="JIMENEZ"/>
    <s v="MRS. JILL JIMENEZ"/>
    <x v="175"/>
    <n v="1946"/>
    <x v="1"/>
    <x v="1"/>
    <x v="1"/>
    <x v="1"/>
    <s v="jill13@adventure-works.com"/>
    <s v="jill13"/>
    <x v="7"/>
    <x v="2"/>
    <x v="3"/>
    <s v="Partial College"/>
    <x v="3"/>
    <x v="0"/>
  </r>
  <r>
    <n v="11029"/>
    <s v="MR."/>
    <x v="142"/>
    <s v="MORENO"/>
    <s v="MR. JIMMY MORENO"/>
    <x v="176"/>
    <n v="1946"/>
    <x v="1"/>
    <x v="1"/>
    <x v="0"/>
    <x v="0"/>
    <s v="jimmy9@adventure-works.com"/>
    <s v="jimmy9"/>
    <x v="7"/>
    <x v="2"/>
    <x v="3"/>
    <s v="Partial College"/>
    <x v="3"/>
    <x v="0"/>
  </r>
  <r>
    <n v="11030"/>
    <s v="MRS."/>
    <x v="143"/>
    <s v="YUAN"/>
    <s v="MRS. BETHANY YUAN"/>
    <x v="177"/>
    <n v="1947"/>
    <x v="1"/>
    <x v="1"/>
    <x v="1"/>
    <x v="1"/>
    <s v="bethany10@adventure-works.com"/>
    <s v="bethany10"/>
    <x v="8"/>
    <x v="2"/>
    <x v="3"/>
    <s v="Partial High School"/>
    <x v="3"/>
    <x v="0"/>
  </r>
  <r>
    <n v="11031"/>
    <s v="MRS."/>
    <x v="144"/>
    <s v="RAMOS"/>
    <s v="MRS. THERESA RAMOS"/>
    <x v="178"/>
    <n v="1947"/>
    <x v="1"/>
    <x v="1"/>
    <x v="1"/>
    <x v="1"/>
    <s v="theresa13@adventure-works.com"/>
    <s v="theresa13"/>
    <x v="9"/>
    <x v="2"/>
    <x v="5"/>
    <s v="High School"/>
    <x v="2"/>
    <x v="0"/>
  </r>
  <r>
    <n v="11032"/>
    <s v="MRS."/>
    <x v="71"/>
    <s v="STONE"/>
    <s v="MRS. DENISE STONE"/>
    <x v="179"/>
    <n v="1947"/>
    <x v="1"/>
    <x v="1"/>
    <x v="1"/>
    <x v="1"/>
    <s v="denise10@adventure-works.com"/>
    <s v="denise10"/>
    <x v="9"/>
    <x v="2"/>
    <x v="5"/>
    <s v="High School"/>
    <x v="2"/>
    <x v="0"/>
  </r>
  <r>
    <n v="11033"/>
    <s v="MR."/>
    <x v="145"/>
    <s v="NATH"/>
    <s v="MR. JAIME NATH"/>
    <x v="180"/>
    <n v="1947"/>
    <x v="1"/>
    <x v="1"/>
    <x v="0"/>
    <x v="0"/>
    <s v="jaime41@adventure-works.com"/>
    <s v="jaime41"/>
    <x v="9"/>
    <x v="2"/>
    <x v="5"/>
    <s v="High School"/>
    <x v="2"/>
    <x v="0"/>
  </r>
  <r>
    <n v="11034"/>
    <s v="MRS."/>
    <x v="90"/>
    <s v="GONZALEZ"/>
    <s v="MRS. EBONY GONZALEZ"/>
    <x v="181"/>
    <n v="1947"/>
    <x v="1"/>
    <x v="1"/>
    <x v="1"/>
    <x v="1"/>
    <s v="ebony19@adventure-works.com"/>
    <s v="ebony19"/>
    <x v="9"/>
    <x v="2"/>
    <x v="5"/>
    <s v="High School"/>
    <x v="2"/>
    <x v="0"/>
  </r>
  <r>
    <n v="11035"/>
    <m/>
    <x v="146"/>
    <s v="DOMINGUEZ"/>
    <s v=" WENDY DOMINGUEZ"/>
    <x v="182"/>
    <n v="1948"/>
    <x v="1"/>
    <x v="1"/>
    <x v="2"/>
    <x v="1"/>
    <s v="wendy12@adventure-works.com"/>
    <s v="wendy12"/>
    <x v="8"/>
    <x v="2"/>
    <x v="3"/>
    <s v="Partial High School"/>
    <x v="3"/>
    <x v="0"/>
  </r>
  <r>
    <n v="11036"/>
    <s v="MS."/>
    <x v="28"/>
    <s v="RUSSELL"/>
    <s v="MS. JENNIFER RUSSELL"/>
    <x v="183"/>
    <n v="1978"/>
    <x v="1"/>
    <x v="1"/>
    <x v="1"/>
    <x v="1"/>
    <s v="jennifer93@adventure-works.com"/>
    <s v="jennifer93"/>
    <x v="3"/>
    <x v="1"/>
    <x v="2"/>
    <s v="Partial College"/>
    <x v="2"/>
    <x v="0"/>
  </r>
  <r>
    <n v="11037"/>
    <s v="MS."/>
    <x v="135"/>
    <s v="GARCIA"/>
    <s v="MS. CHLOE GARCIA"/>
    <x v="184"/>
    <n v="1977"/>
    <x v="0"/>
    <x v="0"/>
    <x v="1"/>
    <x v="1"/>
    <s v="chloe27@adventure-works.com"/>
    <s v="chloe27"/>
    <x v="10"/>
    <x v="2"/>
    <x v="2"/>
    <s v="Partial High School"/>
    <x v="3"/>
    <x v="1"/>
  </r>
  <r>
    <n v="11038"/>
    <s v="MRS."/>
    <x v="147"/>
    <s v="HERNANDEZ"/>
    <s v="MRS. DIANA HERNANDEZ"/>
    <x v="185"/>
    <n v="1948"/>
    <x v="1"/>
    <x v="1"/>
    <x v="1"/>
    <x v="1"/>
    <s v="diana2@adventure-works.com"/>
    <s v="diana2"/>
    <x v="8"/>
    <x v="2"/>
    <x v="3"/>
    <s v="Partial High School"/>
    <x v="3"/>
    <x v="0"/>
  </r>
  <r>
    <n v="11039"/>
    <s v="MR."/>
    <x v="23"/>
    <s v="MARTIN"/>
    <s v="MR. MARC MARTIN"/>
    <x v="186"/>
    <n v="1948"/>
    <x v="1"/>
    <x v="1"/>
    <x v="0"/>
    <x v="0"/>
    <s v="marc3@adventure-works.com"/>
    <s v="marc3"/>
    <x v="7"/>
    <x v="2"/>
    <x v="4"/>
    <s v="Partial College"/>
    <x v="3"/>
    <x v="0"/>
  </r>
  <r>
    <n v="11040"/>
    <s v="MR."/>
    <x v="148"/>
    <s v="MURPHY"/>
    <s v="MR. JESSE MURPHY"/>
    <x v="187"/>
    <n v="1977"/>
    <x v="1"/>
    <x v="1"/>
    <x v="0"/>
    <x v="0"/>
    <s v="jesse15@adventure-works.com"/>
    <s v="jesse15"/>
    <x v="7"/>
    <x v="2"/>
    <x v="2"/>
    <s v="Partial College"/>
    <x v="2"/>
    <x v="0"/>
  </r>
  <r>
    <n v="11041"/>
    <s v="MS."/>
    <x v="149"/>
    <s v="CARTER"/>
    <s v="MS. AMANDA CARTER"/>
    <x v="188"/>
    <n v="1977"/>
    <x v="1"/>
    <x v="1"/>
    <x v="1"/>
    <x v="1"/>
    <s v="amanda53@adventure-works.com"/>
    <s v="amanda53"/>
    <x v="3"/>
    <x v="1"/>
    <x v="2"/>
    <s v="Partial College"/>
    <x v="2"/>
    <x v="0"/>
  </r>
  <r>
    <n v="11042"/>
    <s v="MS."/>
    <x v="78"/>
    <s v="SANCHEZ"/>
    <s v="MS. MEGAN SANCHEZ"/>
    <x v="189"/>
    <n v="1977"/>
    <x v="1"/>
    <x v="1"/>
    <x v="1"/>
    <x v="1"/>
    <s v="megan28@adventure-works.com"/>
    <s v="megan28"/>
    <x v="4"/>
    <x v="1"/>
    <x v="2"/>
    <s v="Partial College"/>
    <x v="2"/>
    <x v="0"/>
  </r>
  <r>
    <n v="11043"/>
    <s v="MR."/>
    <x v="150"/>
    <s v="SIMMONS"/>
    <s v="MR. NATHAN SIMMONS"/>
    <x v="190"/>
    <n v="1976"/>
    <x v="1"/>
    <x v="1"/>
    <x v="0"/>
    <x v="0"/>
    <s v="nathan11@adventure-works.com"/>
    <s v="nathan11"/>
    <x v="3"/>
    <x v="1"/>
    <x v="2"/>
    <s v="Partial College"/>
    <x v="2"/>
    <x v="0"/>
  </r>
  <r>
    <n v="11044"/>
    <s v="MR."/>
    <x v="61"/>
    <s v="FLORES"/>
    <s v="MR. ADAM FLORES"/>
    <x v="191"/>
    <n v="1949"/>
    <x v="1"/>
    <x v="1"/>
    <x v="0"/>
    <x v="0"/>
    <s v="adam10@adventure-works.com"/>
    <s v="adam10"/>
    <x v="9"/>
    <x v="2"/>
    <x v="3"/>
    <s v="Partial High School"/>
    <x v="3"/>
    <x v="0"/>
  </r>
  <r>
    <n v="11045"/>
    <s v="MR."/>
    <x v="151"/>
    <s v="NARA"/>
    <s v="MR. LEONARD NARA"/>
    <x v="192"/>
    <n v="1950"/>
    <x v="0"/>
    <x v="0"/>
    <x v="0"/>
    <x v="0"/>
    <s v="leonard18@adventure-works.com"/>
    <s v="leonard18"/>
    <x v="7"/>
    <x v="2"/>
    <x v="4"/>
    <s v="High School"/>
    <x v="2"/>
    <x v="1"/>
  </r>
  <r>
    <n v="11046"/>
    <s v="MRS."/>
    <x v="152"/>
    <s v="YUAN"/>
    <s v="MRS. CHRISTINE YUAN"/>
    <x v="193"/>
    <n v="1950"/>
    <x v="1"/>
    <x v="1"/>
    <x v="1"/>
    <x v="1"/>
    <s v="christine4@adventure-works.com"/>
    <s v="christine4"/>
    <x v="7"/>
    <x v="2"/>
    <x v="4"/>
    <s v="High School"/>
    <x v="2"/>
    <x v="0"/>
  </r>
  <r>
    <n v="11047"/>
    <s v="MRS."/>
    <x v="100"/>
    <s v="LU"/>
    <s v="MRS. JACLYN LU"/>
    <x v="194"/>
    <n v="1950"/>
    <x v="1"/>
    <x v="1"/>
    <x v="1"/>
    <x v="1"/>
    <s v="jaclyn12@adventure-works.com"/>
    <s v="jaclyn12"/>
    <x v="7"/>
    <x v="2"/>
    <x v="4"/>
    <s v="High School"/>
    <x v="2"/>
    <x v="1"/>
  </r>
  <r>
    <n v="11048"/>
    <s v="MR."/>
    <x v="26"/>
    <s v="POWELL"/>
    <s v="MR. JEREMY POWELL"/>
    <x v="195"/>
    <n v="1950"/>
    <x v="1"/>
    <x v="1"/>
    <x v="0"/>
    <x v="0"/>
    <s v="jeremy26@adventure-works.com"/>
    <s v="jeremy26"/>
    <x v="7"/>
    <x v="2"/>
    <x v="4"/>
    <s v="High School"/>
    <x v="2"/>
    <x v="0"/>
  </r>
  <r>
    <n v="11049"/>
    <s v="MS."/>
    <x v="153"/>
    <s v="RAI"/>
    <s v="MS. CAROL RAI"/>
    <x v="196"/>
    <n v="1980"/>
    <x v="0"/>
    <x v="0"/>
    <x v="1"/>
    <x v="1"/>
    <s v="carol8@adventure-works.com"/>
    <s v="carol8"/>
    <x v="10"/>
    <x v="2"/>
    <x v="2"/>
    <s v="Partial High School"/>
    <x v="3"/>
    <x v="0"/>
  </r>
  <r>
    <n v="11050"/>
    <s v="MR."/>
    <x v="154"/>
    <s v="ZHENG"/>
    <s v="MR. ALAN ZHENG"/>
    <x v="197"/>
    <n v="1951"/>
    <x v="1"/>
    <x v="1"/>
    <x v="0"/>
    <x v="0"/>
    <s v="alan23@adventure-works.com"/>
    <s v="alan23"/>
    <x v="7"/>
    <x v="2"/>
    <x v="4"/>
    <s v="High School"/>
    <x v="2"/>
    <x v="0"/>
  </r>
  <r>
    <n v="11051"/>
    <s v="MR."/>
    <x v="76"/>
    <s v="JOHNSON"/>
    <s v="MR. DANIEL JOHNSON"/>
    <x v="198"/>
    <n v="1951"/>
    <x v="0"/>
    <x v="0"/>
    <x v="0"/>
    <x v="0"/>
    <s v="daniel18@adventure-works.com"/>
    <s v="daniel18"/>
    <x v="7"/>
    <x v="2"/>
    <x v="4"/>
    <s v="High School"/>
    <x v="2"/>
    <x v="1"/>
  </r>
  <r>
    <n v="11052"/>
    <s v="MRS."/>
    <x v="155"/>
    <s v="LOPEZ"/>
    <s v="MRS. HEIDI LOPEZ"/>
    <x v="199"/>
    <n v="1951"/>
    <x v="0"/>
    <x v="0"/>
    <x v="1"/>
    <x v="1"/>
    <s v="heidi19@adventure-works.com"/>
    <s v="heidi19"/>
    <x v="10"/>
    <x v="2"/>
    <x v="3"/>
    <s v="Partial College"/>
    <x v="3"/>
    <x v="1"/>
  </r>
  <r>
    <n v="11053"/>
    <s v="MS."/>
    <x v="156"/>
    <s v="PRICE"/>
    <s v="MS. ANA PRICE"/>
    <x v="38"/>
    <n v="1980"/>
    <x v="1"/>
    <x v="1"/>
    <x v="1"/>
    <x v="1"/>
    <s v="ana0@adventure-works.com"/>
    <s v="ana0"/>
    <x v="3"/>
    <x v="1"/>
    <x v="2"/>
    <s v="Partial College"/>
    <x v="2"/>
    <x v="1"/>
  </r>
  <r>
    <n v="11054"/>
    <s v="MRS."/>
    <x v="81"/>
    <s v="MUNOZ"/>
    <s v="MRS. DEANNA MUNOZ"/>
    <x v="200"/>
    <n v="1952"/>
    <x v="1"/>
    <x v="1"/>
    <x v="1"/>
    <x v="1"/>
    <s v="deanna33@adventure-works.com"/>
    <s v="deanna33"/>
    <x v="10"/>
    <x v="2"/>
    <x v="3"/>
    <s v="Partial College"/>
    <x v="2"/>
    <x v="0"/>
  </r>
  <r>
    <n v="11055"/>
    <s v="MR."/>
    <x v="118"/>
    <s v="RAJE"/>
    <s v="MR. GILBERT RAJE"/>
    <x v="201"/>
    <n v="1952"/>
    <x v="1"/>
    <x v="1"/>
    <x v="0"/>
    <x v="0"/>
    <s v="gilbert35@adventure-works.com"/>
    <s v="gilbert35"/>
    <x v="10"/>
    <x v="2"/>
    <x v="3"/>
    <s v="Partial College"/>
    <x v="2"/>
    <x v="0"/>
  </r>
  <r>
    <n v="11056"/>
    <s v="MRS."/>
    <x v="69"/>
    <s v="NATH"/>
    <s v="MRS. MICHELE NATH"/>
    <x v="202"/>
    <n v="1953"/>
    <x v="1"/>
    <x v="1"/>
    <x v="1"/>
    <x v="1"/>
    <s v="michele19@adventure-works.com"/>
    <s v="michele19"/>
    <x v="10"/>
    <x v="2"/>
    <x v="4"/>
    <s v="Partial College"/>
    <x v="2"/>
    <x v="0"/>
  </r>
  <r>
    <n v="11057"/>
    <s v="MR."/>
    <x v="157"/>
    <s v="ANDERSEN"/>
    <s v="MR. CARL ANDERSEN"/>
    <x v="203"/>
    <n v="1953"/>
    <x v="1"/>
    <x v="1"/>
    <x v="0"/>
    <x v="0"/>
    <s v="carl12@adventure-works.com"/>
    <s v="carl12"/>
    <x v="4"/>
    <x v="1"/>
    <x v="3"/>
    <s v="Graduate Degree"/>
    <x v="0"/>
    <x v="0"/>
  </r>
  <r>
    <n v="11058"/>
    <s v="MR."/>
    <x v="23"/>
    <s v="DIAZ"/>
    <s v="MR. MARC DIAZ"/>
    <x v="204"/>
    <n v="1954"/>
    <x v="1"/>
    <x v="1"/>
    <x v="0"/>
    <x v="0"/>
    <s v="marc6@adventure-works.com"/>
    <s v="marc6"/>
    <x v="1"/>
    <x v="1"/>
    <x v="3"/>
    <s v="Partial College"/>
    <x v="2"/>
    <x v="0"/>
  </r>
  <r>
    <n v="11059"/>
    <s v="MRS."/>
    <x v="158"/>
    <s v="ANDERSEN"/>
    <s v="MRS. ASHLEE ANDERSEN"/>
    <x v="205"/>
    <n v="1954"/>
    <x v="0"/>
    <x v="0"/>
    <x v="1"/>
    <x v="1"/>
    <s v="ashlee19@adventure-works.com"/>
    <s v="ashlee19"/>
    <x v="1"/>
    <x v="1"/>
    <x v="3"/>
    <s v="Partial College"/>
    <x v="2"/>
    <x v="0"/>
  </r>
  <r>
    <n v="11060"/>
    <s v="MR."/>
    <x v="126"/>
    <s v="ZHOU"/>
    <s v="MR. JON ZHOU"/>
    <x v="206"/>
    <n v="1954"/>
    <x v="1"/>
    <x v="1"/>
    <x v="0"/>
    <x v="0"/>
    <s v="jon28@adventure-works.com"/>
    <s v="jon28"/>
    <x v="1"/>
    <x v="1"/>
    <x v="3"/>
    <s v="Partial College"/>
    <x v="2"/>
    <x v="0"/>
  </r>
  <r>
    <n v="11061"/>
    <s v="MR."/>
    <x v="159"/>
    <s v="GAO"/>
    <s v="MR. TODD GAO"/>
    <x v="207"/>
    <n v="1954"/>
    <x v="1"/>
    <x v="1"/>
    <x v="0"/>
    <x v="0"/>
    <s v="todd14@adventure-works.com"/>
    <s v="todd14"/>
    <x v="1"/>
    <x v="1"/>
    <x v="3"/>
    <s v="Partial College"/>
    <x v="2"/>
    <x v="0"/>
  </r>
  <r>
    <n v="11062"/>
    <s v="MR."/>
    <x v="160"/>
    <s v="POWELL"/>
    <s v="MR. NOAH POWELL"/>
    <x v="208"/>
    <n v="1975"/>
    <x v="1"/>
    <x v="1"/>
    <x v="0"/>
    <x v="0"/>
    <s v="noah5@adventure-works.com"/>
    <s v="noah5"/>
    <x v="10"/>
    <x v="2"/>
    <x v="2"/>
    <s v="High School"/>
    <x v="2"/>
    <x v="0"/>
  </r>
  <r>
    <n v="11063"/>
    <s v="MS."/>
    <x v="161"/>
    <s v="MURPHY"/>
    <s v="MS. ANGELA MURPHY"/>
    <x v="209"/>
    <n v="1975"/>
    <x v="0"/>
    <x v="0"/>
    <x v="1"/>
    <x v="1"/>
    <s v="angela41@adventure-works.com"/>
    <s v="angela41"/>
    <x v="10"/>
    <x v="2"/>
    <x v="2"/>
    <s v="High School"/>
    <x v="2"/>
    <x v="0"/>
  </r>
  <r>
    <n v="11064"/>
    <s v="MR."/>
    <x v="162"/>
    <s v="REED"/>
    <s v="MR. CHASE REED"/>
    <x v="210"/>
    <n v="1975"/>
    <x v="1"/>
    <x v="1"/>
    <x v="0"/>
    <x v="0"/>
    <s v="chase21@adventure-works.com"/>
    <s v="chase21"/>
    <x v="10"/>
    <x v="2"/>
    <x v="2"/>
    <s v="High School"/>
    <x v="2"/>
    <x v="0"/>
  </r>
  <r>
    <n v="11065"/>
    <s v="MS."/>
    <x v="57"/>
    <s v="HENDERSON"/>
    <s v="MS. JESSICA HENDERSON"/>
    <x v="211"/>
    <n v="1973"/>
    <x v="1"/>
    <x v="1"/>
    <x v="1"/>
    <x v="1"/>
    <s v="jessica29@adventure-works.com"/>
    <s v="jessica29"/>
    <x v="3"/>
    <x v="1"/>
    <x v="2"/>
    <s v="Partial College"/>
    <x v="2"/>
    <x v="1"/>
  </r>
  <r>
    <n v="11066"/>
    <s v="MS."/>
    <x v="65"/>
    <s v="BUTLER"/>
    <s v="MS. GRACE BUTLER"/>
    <x v="212"/>
    <n v="1973"/>
    <x v="1"/>
    <x v="1"/>
    <x v="1"/>
    <x v="1"/>
    <s v="grace62@adventure-works.com"/>
    <s v="grace62"/>
    <x v="4"/>
    <x v="1"/>
    <x v="2"/>
    <s v="Partial College"/>
    <x v="1"/>
    <x v="0"/>
  </r>
  <r>
    <n v="11067"/>
    <s v="MR."/>
    <x v="163"/>
    <s v="CARTER"/>
    <s v="MR. CALEB CARTER"/>
    <x v="213"/>
    <n v="1976"/>
    <x v="0"/>
    <x v="0"/>
    <x v="0"/>
    <x v="0"/>
    <s v="caleb40@adventure-works.com"/>
    <s v="caleb40"/>
    <x v="3"/>
    <x v="1"/>
    <x v="2"/>
    <s v="Partial College"/>
    <x v="1"/>
    <x v="0"/>
  </r>
  <r>
    <n v="11068"/>
    <s v="MRS."/>
    <x v="164"/>
    <s v="LIANG"/>
    <s v="MRS. TIFFANY LIANG"/>
    <x v="214"/>
    <n v="1955"/>
    <x v="0"/>
    <x v="0"/>
    <x v="1"/>
    <x v="1"/>
    <s v="tiffany17@adventure-works.com"/>
    <s v="tiffany17"/>
    <x v="1"/>
    <x v="1"/>
    <x v="3"/>
    <s v="High School"/>
    <x v="2"/>
    <x v="0"/>
  </r>
  <r>
    <n v="11069"/>
    <s v="MRS."/>
    <x v="165"/>
    <s v="NAVARRO"/>
    <s v="MRS. CAROLYN NAVARRO"/>
    <x v="215"/>
    <n v="1955"/>
    <x v="0"/>
    <x v="0"/>
    <x v="1"/>
    <x v="1"/>
    <s v="carolyn30@adventure-works.com"/>
    <s v="carolyn30"/>
    <x v="1"/>
    <x v="1"/>
    <x v="3"/>
    <s v="High School"/>
    <x v="2"/>
    <x v="1"/>
  </r>
  <r>
    <n v="11070"/>
    <s v="MR."/>
    <x v="166"/>
    <s v="RAJI"/>
    <s v="MR. WILLIE RAJI"/>
    <x v="216"/>
    <n v="1955"/>
    <x v="1"/>
    <x v="1"/>
    <x v="0"/>
    <x v="0"/>
    <s v="willie40@adventure-works.com"/>
    <s v="willie40"/>
    <x v="1"/>
    <x v="1"/>
    <x v="3"/>
    <s v="High School"/>
    <x v="2"/>
    <x v="0"/>
  </r>
  <r>
    <n v="11071"/>
    <s v="MRS."/>
    <x v="122"/>
    <s v="SERRANO"/>
    <s v="MRS. LINDA SERRANO"/>
    <x v="217"/>
    <n v="1955"/>
    <x v="0"/>
    <x v="0"/>
    <x v="1"/>
    <x v="1"/>
    <s v="linda31@adventure-works.com"/>
    <s v="linda31"/>
    <x v="1"/>
    <x v="1"/>
    <x v="3"/>
    <s v="High School"/>
    <x v="2"/>
    <x v="0"/>
  </r>
  <r>
    <n v="11072"/>
    <s v="MRS."/>
    <x v="110"/>
    <s v="LUO"/>
    <s v="MRS. CASEY LUO"/>
    <x v="218"/>
    <n v="1955"/>
    <x v="0"/>
    <x v="0"/>
    <x v="1"/>
    <x v="1"/>
    <s v="casey6@adventure-works.com"/>
    <s v="casey6"/>
    <x v="1"/>
    <x v="1"/>
    <x v="3"/>
    <s v="High School"/>
    <x v="2"/>
    <x v="1"/>
  </r>
  <r>
    <n v="11073"/>
    <s v="MRS."/>
    <x v="167"/>
    <s v="YE"/>
    <s v="MRS. AMY YE"/>
    <x v="219"/>
    <n v="1956"/>
    <x v="0"/>
    <x v="0"/>
    <x v="1"/>
    <x v="1"/>
    <s v="amy16@adventure-works.com"/>
    <s v="amy16"/>
    <x v="4"/>
    <x v="1"/>
    <x v="3"/>
    <s v="High School"/>
    <x v="2"/>
    <x v="0"/>
  </r>
  <r>
    <n v="11074"/>
    <s v="MR."/>
    <x v="101"/>
    <s v="ARUN"/>
    <s v="MR. LEVI ARUN"/>
    <x v="220"/>
    <n v="1956"/>
    <x v="0"/>
    <x v="0"/>
    <x v="0"/>
    <x v="0"/>
    <s v="levi6@adventure-works.com"/>
    <s v="levi6"/>
    <x v="4"/>
    <x v="1"/>
    <x v="3"/>
    <s v="High School"/>
    <x v="2"/>
    <x v="0"/>
  </r>
  <r>
    <n v="11075"/>
    <s v="MRS."/>
    <x v="168"/>
    <s v="JIMENEZ"/>
    <s v="MRS. FELICIA JIMENEZ"/>
    <x v="221"/>
    <n v="1957"/>
    <x v="0"/>
    <x v="0"/>
    <x v="1"/>
    <x v="1"/>
    <s v="felicia4@adventure-works.com"/>
    <s v="felicia4"/>
    <x v="1"/>
    <x v="1"/>
    <x v="3"/>
    <s v="High School"/>
    <x v="1"/>
    <x v="0"/>
  </r>
  <r>
    <n v="11076"/>
    <s v="MR."/>
    <x v="77"/>
    <s v="ANDERSON"/>
    <s v="MR. BLAKE ANDERSON"/>
    <x v="222"/>
    <n v="1957"/>
    <x v="0"/>
    <x v="0"/>
    <x v="0"/>
    <x v="0"/>
    <s v="blake9@adventure-works.com"/>
    <s v="blake9"/>
    <x v="1"/>
    <x v="1"/>
    <x v="3"/>
    <s v="High School"/>
    <x v="1"/>
    <x v="0"/>
  </r>
  <r>
    <n v="11077"/>
    <s v="MRS."/>
    <x v="169"/>
    <s v="YE"/>
    <s v="MRS. LEAH YE"/>
    <x v="100"/>
    <n v="1957"/>
    <x v="0"/>
    <x v="0"/>
    <x v="1"/>
    <x v="1"/>
    <s v="leah7@adventure-works.com"/>
    <s v="leah7"/>
    <x v="1"/>
    <x v="1"/>
    <x v="3"/>
    <s v="High School"/>
    <x v="1"/>
    <x v="1"/>
  </r>
  <r>
    <n v="11078"/>
    <s v="MS."/>
    <x v="170"/>
    <s v="MARTIN"/>
    <s v="MS. GINA MARTIN"/>
    <x v="223"/>
    <n v="1974"/>
    <x v="0"/>
    <x v="0"/>
    <x v="1"/>
    <x v="1"/>
    <s v="gina1@adventure-works.com"/>
    <s v="gina1"/>
    <x v="10"/>
    <x v="2"/>
    <x v="2"/>
    <s v="High School"/>
    <x v="1"/>
    <x v="1"/>
  </r>
  <r>
    <n v="11079"/>
    <s v="MR."/>
    <x v="171"/>
    <s v="GONZALEZ"/>
    <s v="MR. DONALD GONZALEZ"/>
    <x v="224"/>
    <n v="1959"/>
    <x v="0"/>
    <x v="0"/>
    <x v="0"/>
    <x v="0"/>
    <s v="donald20@adventure-works.com"/>
    <s v="donald20"/>
    <x v="13"/>
    <x v="3"/>
    <x v="2"/>
    <s v="Graduate Degree"/>
    <x v="0"/>
    <x v="0"/>
  </r>
  <r>
    <n v="11080"/>
    <s v="MR."/>
    <x v="172"/>
    <s v="CHANDER"/>
    <s v="MR. DAMIEN CHANDER"/>
    <x v="225"/>
    <n v="1959"/>
    <x v="1"/>
    <x v="1"/>
    <x v="0"/>
    <x v="0"/>
    <s v="damien32@adventure-works.com"/>
    <s v="damien32"/>
    <x v="14"/>
    <x v="3"/>
    <x v="2"/>
    <s v="Graduate Degree"/>
    <x v="0"/>
    <x v="0"/>
  </r>
  <r>
    <n v="11081"/>
    <s v="MRS."/>
    <x v="173"/>
    <s v="BAKER"/>
    <s v="MRS. SAVANNAH BAKER"/>
    <x v="226"/>
    <n v="1966"/>
    <x v="1"/>
    <x v="1"/>
    <x v="1"/>
    <x v="1"/>
    <s v="savannah39@adventure-works.com"/>
    <s v="savannah39"/>
    <x v="11"/>
    <x v="0"/>
    <x v="3"/>
    <s v="Bachelors"/>
    <x v="0"/>
    <x v="0"/>
  </r>
  <r>
    <n v="11082"/>
    <m/>
    <x v="161"/>
    <s v="BUTLER"/>
    <s v=" ANGELA BUTLER"/>
    <x v="227"/>
    <n v="1966"/>
    <x v="0"/>
    <x v="0"/>
    <x v="2"/>
    <x v="1"/>
    <s v="angela17@adventure-works.com"/>
    <s v="angela17"/>
    <x v="0"/>
    <x v="0"/>
    <x v="2"/>
    <s v="Graduate Degree"/>
    <x v="0"/>
    <x v="1"/>
  </r>
  <r>
    <n v="11083"/>
    <s v="MS."/>
    <x v="174"/>
    <s v="COX"/>
    <s v="MS. ALYSSA COX"/>
    <x v="228"/>
    <n v="1966"/>
    <x v="1"/>
    <x v="1"/>
    <x v="1"/>
    <x v="1"/>
    <s v="alyssa37@adventure-works.com"/>
    <s v="alyssa37"/>
    <x v="0"/>
    <x v="0"/>
    <x v="2"/>
    <s v="Graduate Degree"/>
    <x v="0"/>
    <x v="0"/>
  </r>
  <r>
    <n v="11084"/>
    <s v="MR."/>
    <x v="175"/>
    <s v="PHILLIPS"/>
    <s v="MR. LUCAS PHILLIPS"/>
    <x v="229"/>
    <n v="1957"/>
    <x v="0"/>
    <x v="0"/>
    <x v="0"/>
    <x v="0"/>
    <s v="lucas7@adventure-works.com"/>
    <s v="lucas7"/>
    <x v="1"/>
    <x v="1"/>
    <x v="3"/>
    <s v="Partial High School"/>
    <x v="2"/>
    <x v="1"/>
  </r>
  <r>
    <n v="11085"/>
    <s v="MRS."/>
    <x v="176"/>
    <s v="JOHNSON"/>
    <s v="MRS. EMILY JOHNSON"/>
    <x v="230"/>
    <n v="1957"/>
    <x v="0"/>
    <x v="0"/>
    <x v="1"/>
    <x v="1"/>
    <s v="emily1@adventure-works.com"/>
    <s v="emily1"/>
    <x v="3"/>
    <x v="1"/>
    <x v="3"/>
    <s v="High School"/>
    <x v="1"/>
    <x v="1"/>
  </r>
  <r>
    <n v="11086"/>
    <s v="MR."/>
    <x v="177"/>
    <s v="BROWN"/>
    <s v="MR. RYAN BROWN"/>
    <x v="231"/>
    <n v="1957"/>
    <x v="1"/>
    <x v="1"/>
    <x v="0"/>
    <x v="0"/>
    <s v="ryan43@adventure-works.com"/>
    <s v="ryan43"/>
    <x v="4"/>
    <x v="1"/>
    <x v="3"/>
    <s v="Partial College"/>
    <x v="1"/>
    <x v="0"/>
  </r>
  <r>
    <n v="11087"/>
    <s v="MRS."/>
    <x v="178"/>
    <s v="LIANG"/>
    <s v="MRS. TAMARA LIANG"/>
    <x v="232"/>
    <n v="1957"/>
    <x v="1"/>
    <x v="1"/>
    <x v="1"/>
    <x v="1"/>
    <s v="tamara6@adventure-works.com"/>
    <s v="tamara6"/>
    <x v="4"/>
    <x v="1"/>
    <x v="4"/>
    <s v="Partial College"/>
    <x v="1"/>
    <x v="1"/>
  </r>
  <r>
    <n v="11089"/>
    <s v="MRS."/>
    <x v="179"/>
    <s v="PRICE"/>
    <s v="MRS. ABIGAIL PRICE"/>
    <x v="233"/>
    <n v="1957"/>
    <x v="0"/>
    <x v="0"/>
    <x v="1"/>
    <x v="1"/>
    <s v="abigail25@adventure-works.com"/>
    <s v="abigail25"/>
    <x v="1"/>
    <x v="1"/>
    <x v="3"/>
    <s v="Bachelors"/>
    <x v="0"/>
    <x v="0"/>
  </r>
  <r>
    <n v="11090"/>
    <s v="MR."/>
    <x v="180"/>
    <s v="BRYANT"/>
    <s v="MR. TREVOR BRYANT"/>
    <x v="234"/>
    <n v="1957"/>
    <x v="0"/>
    <x v="0"/>
    <x v="0"/>
    <x v="0"/>
    <s v="trevor18@adventure-works.com"/>
    <s v="trevor18"/>
    <x v="2"/>
    <x v="1"/>
    <x v="3"/>
    <s v="Partial College"/>
    <x v="1"/>
    <x v="0"/>
  </r>
  <r>
    <n v="11091"/>
    <s v="MR."/>
    <x v="27"/>
    <s v="PEREZ"/>
    <s v="MR. DALTON PEREZ"/>
    <x v="235"/>
    <n v="1957"/>
    <x v="1"/>
    <x v="1"/>
    <x v="0"/>
    <x v="0"/>
    <s v="dalton37@adventure-works.com"/>
    <s v="dalton37"/>
    <x v="2"/>
    <x v="1"/>
    <x v="3"/>
    <s v="Partial College"/>
    <x v="1"/>
    <x v="0"/>
  </r>
  <r>
    <n v="11092"/>
    <s v="MRS."/>
    <x v="93"/>
    <s v="DIAZ"/>
    <s v="MRS. CHERYL DIAZ"/>
    <x v="236"/>
    <n v="1967"/>
    <x v="1"/>
    <x v="1"/>
    <x v="1"/>
    <x v="1"/>
    <s v="cheryl4@adventure-works.com"/>
    <s v="cheryl4"/>
    <x v="2"/>
    <x v="1"/>
    <x v="3"/>
    <s v="Bachelors"/>
    <x v="1"/>
    <x v="0"/>
  </r>
  <r>
    <n v="11093"/>
    <s v="MS."/>
    <x v="181"/>
    <s v="HE"/>
    <s v="MS. AIMEE HE"/>
    <x v="237"/>
    <n v="1967"/>
    <x v="1"/>
    <x v="1"/>
    <x v="1"/>
    <x v="1"/>
    <s v="aimee13@adventure-works.com"/>
    <s v="aimee13"/>
    <x v="5"/>
    <x v="0"/>
    <x v="2"/>
    <s v="Graduate Degree"/>
    <x v="0"/>
    <x v="0"/>
  </r>
  <r>
    <n v="11094"/>
    <s v="MR."/>
    <x v="120"/>
    <s v="MA"/>
    <s v="MR. CEDRIC MA"/>
    <x v="238"/>
    <n v="1962"/>
    <x v="0"/>
    <x v="0"/>
    <x v="0"/>
    <x v="0"/>
    <s v="cedric15@adventure-works.com"/>
    <s v="cedric15"/>
    <x v="4"/>
    <x v="1"/>
    <x v="0"/>
    <s v="Partial College"/>
    <x v="2"/>
    <x v="1"/>
  </r>
  <r>
    <n v="11095"/>
    <s v="MR."/>
    <x v="182"/>
    <s v="KUMAR"/>
    <s v="MR. CHAD KUMAR"/>
    <x v="239"/>
    <n v="1962"/>
    <x v="0"/>
    <x v="0"/>
    <x v="0"/>
    <x v="0"/>
    <s v="chad9@adventure-works.com"/>
    <s v="chad9"/>
    <x v="4"/>
    <x v="1"/>
    <x v="0"/>
    <s v="Partial College"/>
    <x v="2"/>
    <x v="0"/>
  </r>
  <r>
    <n v="11096"/>
    <s v="MR."/>
    <x v="183"/>
    <s v="ANAND"/>
    <s v="MR. ANDRÉS ANAND"/>
    <x v="240"/>
    <n v="1962"/>
    <x v="1"/>
    <x v="1"/>
    <x v="0"/>
    <x v="0"/>
    <s v="andrés18@adventure-works.com"/>
    <s v="andrés18"/>
    <x v="3"/>
    <x v="1"/>
    <x v="0"/>
    <s v="Bachelors"/>
    <x v="1"/>
    <x v="0"/>
  </r>
  <r>
    <n v="11097"/>
    <s v="MR."/>
    <x v="70"/>
    <s v="NARA"/>
    <s v="MR. EDWIN NARA"/>
    <x v="241"/>
    <n v="1961"/>
    <x v="1"/>
    <x v="1"/>
    <x v="0"/>
    <x v="0"/>
    <s v="edwin39@adventure-works.com"/>
    <s v="edwin39"/>
    <x v="3"/>
    <x v="1"/>
    <x v="0"/>
    <s v="Partial College"/>
    <x v="2"/>
    <x v="0"/>
  </r>
  <r>
    <n v="11098"/>
    <s v="MRS."/>
    <x v="184"/>
    <s v="RUBIO"/>
    <s v="MRS. MALLORY RUBIO"/>
    <x v="242"/>
    <n v="1961"/>
    <x v="0"/>
    <x v="0"/>
    <x v="1"/>
    <x v="1"/>
    <s v="mallory7@adventure-works.com"/>
    <s v="mallory7"/>
    <x v="3"/>
    <x v="1"/>
    <x v="0"/>
    <s v="Partial College"/>
    <x v="2"/>
    <x v="1"/>
  </r>
  <r>
    <n v="11099"/>
    <s v="MR."/>
    <x v="61"/>
    <s v="ROSS"/>
    <s v="MR. ADAM ROSS"/>
    <x v="243"/>
    <n v="1961"/>
    <x v="1"/>
    <x v="1"/>
    <x v="0"/>
    <x v="0"/>
    <s v="adam2@adventure-works.com"/>
    <s v="adam2"/>
    <x v="3"/>
    <x v="1"/>
    <x v="0"/>
    <s v="Bachelors"/>
    <x v="1"/>
    <x v="0"/>
  </r>
  <r>
    <n v="11100"/>
    <s v="MRS."/>
    <x v="102"/>
    <s v="NAVARRO"/>
    <s v="MRS. LATASHA NAVARRO"/>
    <x v="244"/>
    <n v="1960"/>
    <x v="0"/>
    <x v="0"/>
    <x v="1"/>
    <x v="1"/>
    <s v="latasha10@adventure-works.com"/>
    <s v="latasha10"/>
    <x v="3"/>
    <x v="1"/>
    <x v="0"/>
    <s v="Partial College"/>
    <x v="2"/>
    <x v="0"/>
  </r>
  <r>
    <n v="11101"/>
    <s v="MS."/>
    <x v="185"/>
    <s v="SAI"/>
    <s v="MS. ABBY SAI"/>
    <x v="245"/>
    <n v="1965"/>
    <x v="0"/>
    <x v="0"/>
    <x v="1"/>
    <x v="1"/>
    <s v="abby4@adventure-works.com"/>
    <s v="abby4"/>
    <x v="4"/>
    <x v="1"/>
    <x v="2"/>
    <s v="Bachelors"/>
    <x v="1"/>
    <x v="1"/>
  </r>
  <r>
    <n v="11102"/>
    <s v="MRS."/>
    <x v="186"/>
    <s v="NELSON"/>
    <s v="MRS. JULIA NELSON"/>
    <x v="246"/>
    <n v="1965"/>
    <x v="0"/>
    <x v="0"/>
    <x v="1"/>
    <x v="1"/>
    <s v="julia7@adventure-works.com"/>
    <s v="julia7"/>
    <x v="1"/>
    <x v="1"/>
    <x v="1"/>
    <s v="Bachelors"/>
    <x v="1"/>
    <x v="0"/>
  </r>
  <r>
    <n v="11103"/>
    <s v="MS."/>
    <x v="187"/>
    <s v="CHANDE"/>
    <s v="MS. CASSIE CHANDE"/>
    <x v="247"/>
    <n v="1964"/>
    <x v="0"/>
    <x v="0"/>
    <x v="1"/>
    <x v="1"/>
    <s v="cassie13@adventure-works.com"/>
    <s v="cassie13"/>
    <x v="4"/>
    <x v="1"/>
    <x v="2"/>
    <s v="Bachelors"/>
    <x v="1"/>
    <x v="0"/>
  </r>
  <r>
    <n v="11104"/>
    <s v="MR."/>
    <x v="188"/>
    <s v="SARA"/>
    <s v="MR. EDGAR SARA"/>
    <x v="248"/>
    <n v="1964"/>
    <x v="1"/>
    <x v="1"/>
    <x v="0"/>
    <x v="0"/>
    <s v="edgar11@adventure-works.com"/>
    <s v="edgar11"/>
    <x v="4"/>
    <x v="1"/>
    <x v="2"/>
    <s v="Bachelors"/>
    <x v="1"/>
    <x v="1"/>
  </r>
  <r>
    <n v="11105"/>
    <s v="MS."/>
    <x v="189"/>
    <s v="FERNANDEZ"/>
    <s v="MS. CANDACE FERNANDEZ"/>
    <x v="249"/>
    <n v="1964"/>
    <x v="0"/>
    <x v="0"/>
    <x v="1"/>
    <x v="1"/>
    <s v="candace15@adventure-works.com"/>
    <s v="candace15"/>
    <x v="4"/>
    <x v="1"/>
    <x v="2"/>
    <s v="Bachelors"/>
    <x v="1"/>
    <x v="1"/>
  </r>
  <r>
    <n v="11106"/>
    <s v="MR."/>
    <x v="141"/>
    <s v="LIU"/>
    <s v="MR. JESSIE LIU"/>
    <x v="250"/>
    <n v="1964"/>
    <x v="0"/>
    <x v="0"/>
    <x v="0"/>
    <x v="0"/>
    <s v="jessie9@adventure-works.com"/>
    <s v="jessie9"/>
    <x v="4"/>
    <x v="1"/>
    <x v="2"/>
    <s v="Bachelors"/>
    <x v="1"/>
    <x v="1"/>
  </r>
  <r>
    <n v="11107"/>
    <s v="MRS."/>
    <x v="95"/>
    <s v="LIN"/>
    <s v="MRS. BIANCA LIN"/>
    <x v="251"/>
    <n v="1959"/>
    <x v="1"/>
    <x v="1"/>
    <x v="1"/>
    <x v="1"/>
    <s v="bianca7@adventure-works.com"/>
    <s v="bianca7"/>
    <x v="2"/>
    <x v="1"/>
    <x v="0"/>
    <s v="Bachelors"/>
    <x v="1"/>
    <x v="0"/>
  </r>
  <r>
    <n v="11108"/>
    <s v="MS."/>
    <x v="190"/>
    <s v="ALVAREZ"/>
    <s v="MS. KARI ALVAREZ"/>
    <x v="252"/>
    <n v="1963"/>
    <x v="0"/>
    <x v="0"/>
    <x v="1"/>
    <x v="1"/>
    <s v="kari25@adventure-works.com"/>
    <s v="kari25"/>
    <x v="4"/>
    <x v="1"/>
    <x v="2"/>
    <s v="Bachelors"/>
    <x v="1"/>
    <x v="1"/>
  </r>
  <r>
    <n v="11109"/>
    <s v="MR."/>
    <x v="127"/>
    <s v="KAPOOR"/>
    <s v="MR. RUBEN KAPOOR"/>
    <x v="253"/>
    <n v="1963"/>
    <x v="0"/>
    <x v="0"/>
    <x v="0"/>
    <x v="0"/>
    <s v="ruben1@adventure-works.com"/>
    <s v="ruben1"/>
    <x v="4"/>
    <x v="1"/>
    <x v="2"/>
    <s v="Bachelors"/>
    <x v="1"/>
    <x v="1"/>
  </r>
  <r>
    <n v="11110"/>
    <s v="MR."/>
    <x v="92"/>
    <s v="YANG"/>
    <s v="MR. CURTIS YANG"/>
    <x v="254"/>
    <n v="1962"/>
    <x v="1"/>
    <x v="1"/>
    <x v="0"/>
    <x v="0"/>
    <s v="curtis5@adventure-works.com"/>
    <s v="curtis5"/>
    <x v="3"/>
    <x v="1"/>
    <x v="0"/>
    <s v="Partial College"/>
    <x v="2"/>
    <x v="0"/>
  </r>
  <r>
    <n v="11111"/>
    <s v="MRS."/>
    <x v="191"/>
    <s v="GUTIERREZ"/>
    <s v="MRS. MEREDITH GUTIERREZ"/>
    <x v="255"/>
    <n v="1962"/>
    <x v="1"/>
    <x v="1"/>
    <x v="1"/>
    <x v="1"/>
    <s v="meredith34@adventure-works.com"/>
    <s v="meredith34"/>
    <x v="3"/>
    <x v="1"/>
    <x v="0"/>
    <s v="Partial College"/>
    <x v="2"/>
    <x v="0"/>
  </r>
  <r>
    <n v="11112"/>
    <s v="MRS."/>
    <x v="192"/>
    <s v="WANG"/>
    <s v="MRS. CRYSTAL WANG"/>
    <x v="256"/>
    <n v="1962"/>
    <x v="1"/>
    <x v="1"/>
    <x v="1"/>
    <x v="1"/>
    <s v="crystal3@adventure-works.com"/>
    <s v="crystal3"/>
    <x v="3"/>
    <x v="1"/>
    <x v="0"/>
    <s v="Partial College"/>
    <x v="2"/>
    <x v="0"/>
  </r>
  <r>
    <n v="11113"/>
    <s v="MR."/>
    <x v="193"/>
    <s v="BLANCO"/>
    <s v="MR. MICHEAL BLANCO"/>
    <x v="257"/>
    <n v="1962"/>
    <x v="1"/>
    <x v="1"/>
    <x v="0"/>
    <x v="0"/>
    <s v="micheal11@adventure-works.com"/>
    <s v="micheal11"/>
    <x v="4"/>
    <x v="1"/>
    <x v="1"/>
    <s v="Bachelors"/>
    <x v="1"/>
    <x v="0"/>
  </r>
  <r>
    <n v="11114"/>
    <s v="MRS."/>
    <x v="194"/>
    <s v="MORENO"/>
    <s v="MRS. LESLIE MORENO"/>
    <x v="258"/>
    <n v="1962"/>
    <x v="0"/>
    <x v="0"/>
    <x v="1"/>
    <x v="1"/>
    <s v="leslie7@adventure-works.com"/>
    <s v="leslie7"/>
    <x v="4"/>
    <x v="1"/>
    <x v="1"/>
    <s v="Partial College"/>
    <x v="2"/>
    <x v="0"/>
  </r>
  <r>
    <n v="11115"/>
    <s v="MR."/>
    <x v="195"/>
    <s v="CAI"/>
    <s v="MR. ALVIN CAI"/>
    <x v="259"/>
    <n v="1962"/>
    <x v="1"/>
    <x v="1"/>
    <x v="0"/>
    <x v="0"/>
    <s v="alvin20@adventure-works.com"/>
    <s v="alvin20"/>
    <x v="4"/>
    <x v="1"/>
    <x v="1"/>
    <s v="Partial College"/>
    <x v="2"/>
    <x v="0"/>
  </r>
  <r>
    <n v="11116"/>
    <s v="MR."/>
    <x v="196"/>
    <s v="CARLSON"/>
    <s v="MR. CLINTON CARLSON"/>
    <x v="260"/>
    <n v="1962"/>
    <x v="1"/>
    <x v="1"/>
    <x v="0"/>
    <x v="0"/>
    <s v="clinton14@adventure-works.com"/>
    <s v="clinton14"/>
    <x v="4"/>
    <x v="1"/>
    <x v="1"/>
    <s v="Partial College"/>
    <x v="2"/>
    <x v="0"/>
  </r>
  <r>
    <n v="11117"/>
    <s v="MRS."/>
    <x v="197"/>
    <s v="DENG"/>
    <s v="MRS. APRIL DENG"/>
    <x v="261"/>
    <n v="1961"/>
    <x v="1"/>
    <x v="1"/>
    <x v="1"/>
    <x v="1"/>
    <s v="april1@adventure-works.com"/>
    <s v="april1"/>
    <x v="4"/>
    <x v="1"/>
    <x v="1"/>
    <s v="Partial College"/>
    <x v="2"/>
    <x v="0"/>
  </r>
  <r>
    <n v="11118"/>
    <s v="MR."/>
    <x v="195"/>
    <s v="ZENG"/>
    <s v="MR. ALVIN ZENG"/>
    <x v="262"/>
    <n v="1957"/>
    <x v="0"/>
    <x v="0"/>
    <x v="0"/>
    <x v="0"/>
    <s v="alvin21@adventure-works.com"/>
    <s v="alvin21"/>
    <x v="1"/>
    <x v="1"/>
    <x v="0"/>
    <s v="Partial College"/>
    <x v="2"/>
    <x v="1"/>
  </r>
  <r>
    <n v="11119"/>
    <s v="MR."/>
    <x v="198"/>
    <s v="JAMES"/>
    <s v="MR. EVAN JAMES"/>
    <x v="263"/>
    <n v="1935"/>
    <x v="0"/>
    <x v="0"/>
    <x v="0"/>
    <x v="0"/>
    <s v="evan8@adventure-works.com"/>
    <s v="evan8"/>
    <x v="7"/>
    <x v="2"/>
    <x v="3"/>
    <s v="Partial College"/>
    <x v="3"/>
    <x v="1"/>
  </r>
  <r>
    <n v="11121"/>
    <s v="MR."/>
    <x v="199"/>
    <s v="SUAREZ"/>
    <s v="MR. ORLANDO SUAREZ"/>
    <x v="264"/>
    <n v="1960"/>
    <x v="1"/>
    <x v="1"/>
    <x v="0"/>
    <x v="0"/>
    <s v="orlando19@adventure-works.com"/>
    <s v="orlando19"/>
    <x v="4"/>
    <x v="1"/>
    <x v="1"/>
    <s v="Partial College"/>
    <x v="2"/>
    <x v="0"/>
  </r>
  <r>
    <n v="11122"/>
    <s v="MR."/>
    <x v="200"/>
    <s v="VAZQUEZ"/>
    <s v="MR. BYRON VAZQUEZ"/>
    <x v="265"/>
    <n v="1960"/>
    <x v="1"/>
    <x v="1"/>
    <x v="0"/>
    <x v="0"/>
    <s v="byron9@adventure-works.com"/>
    <s v="byron9"/>
    <x v="4"/>
    <x v="1"/>
    <x v="1"/>
    <s v="Partial College"/>
    <x v="2"/>
    <x v="0"/>
  </r>
  <r>
    <n v="11123"/>
    <s v="MR."/>
    <x v="201"/>
    <s v="ALVAREZ"/>
    <s v="MR. PHILIP ALVAREZ"/>
    <x v="266"/>
    <n v="1960"/>
    <x v="1"/>
    <x v="1"/>
    <x v="0"/>
    <x v="0"/>
    <s v="philip4@adventure-works.com"/>
    <s v="philip4"/>
    <x v="4"/>
    <x v="1"/>
    <x v="1"/>
    <s v="Partial College"/>
    <x v="2"/>
    <x v="0"/>
  </r>
  <r>
    <n v="11124"/>
    <s v="MR."/>
    <x v="202"/>
    <s v="JORDAN"/>
    <s v="MR. ROSS JORDAN"/>
    <x v="267"/>
    <n v="1957"/>
    <x v="0"/>
    <x v="0"/>
    <x v="0"/>
    <x v="0"/>
    <s v="ross1@adventure-works.com"/>
    <s v="ross1"/>
    <x v="1"/>
    <x v="1"/>
    <x v="0"/>
    <s v="Partial College"/>
    <x v="2"/>
    <x v="0"/>
  </r>
  <r>
    <n v="11125"/>
    <s v="MRS."/>
    <x v="203"/>
    <s v="NAVARRO"/>
    <s v="MRS. DANA NAVARRO"/>
    <x v="268"/>
    <n v="1956"/>
    <x v="0"/>
    <x v="0"/>
    <x v="1"/>
    <x v="1"/>
    <s v="dana2@adventure-works.com"/>
    <s v="dana2"/>
    <x v="4"/>
    <x v="1"/>
    <x v="0"/>
    <s v="Partial College"/>
    <x v="2"/>
    <x v="0"/>
  </r>
  <r>
    <n v="11126"/>
    <s v="MR."/>
    <x v="204"/>
    <s v="CARSON"/>
    <s v="MR. SHAUN CARSON"/>
    <x v="269"/>
    <n v="1949"/>
    <x v="1"/>
    <x v="1"/>
    <x v="0"/>
    <x v="0"/>
    <s v="shaun16@adventure-works.com"/>
    <s v="shaun16"/>
    <x v="8"/>
    <x v="2"/>
    <x v="3"/>
    <s v="High School"/>
    <x v="2"/>
    <x v="1"/>
  </r>
  <r>
    <n v="11127"/>
    <s v="MS."/>
    <x v="205"/>
    <s v="EDWARDS"/>
    <s v="MS. JAN EDWARDS"/>
    <x v="270"/>
    <n v="1975"/>
    <x v="1"/>
    <x v="1"/>
    <x v="1"/>
    <x v="1"/>
    <s v="jan11@adventure-works.com"/>
    <s v="jan11"/>
    <x v="10"/>
    <x v="2"/>
    <x v="2"/>
    <s v="High School"/>
    <x v="2"/>
    <x v="0"/>
  </r>
  <r>
    <n v="11128"/>
    <s v="MS."/>
    <x v="206"/>
    <s v="LONG"/>
    <s v="MS. SAMANTHA LONG"/>
    <x v="271"/>
    <n v="1975"/>
    <x v="1"/>
    <x v="1"/>
    <x v="1"/>
    <x v="1"/>
    <s v="samantha35@adventure-works.com"/>
    <s v="samantha35"/>
    <x v="10"/>
    <x v="2"/>
    <x v="2"/>
    <s v="High School"/>
    <x v="2"/>
    <x v="0"/>
  </r>
  <r>
    <n v="11129"/>
    <s v="MS."/>
    <x v="186"/>
    <s v="WRIGHT"/>
    <s v="MS. JULIA WRIGHT"/>
    <x v="272"/>
    <n v="1975"/>
    <x v="0"/>
    <x v="0"/>
    <x v="1"/>
    <x v="1"/>
    <s v="julia17@adventure-works.com"/>
    <s v="julia17"/>
    <x v="10"/>
    <x v="2"/>
    <x v="2"/>
    <s v="High School"/>
    <x v="2"/>
    <x v="0"/>
  </r>
  <r>
    <n v="11130"/>
    <s v="MS."/>
    <x v="207"/>
    <s v="RUSSELL"/>
    <s v="MS. CAROLINE RUSSELL"/>
    <x v="273"/>
    <n v="1980"/>
    <x v="1"/>
    <x v="1"/>
    <x v="1"/>
    <x v="1"/>
    <s v="caroline21@adventure-works.com"/>
    <s v="caroline21"/>
    <x v="7"/>
    <x v="2"/>
    <x v="2"/>
    <s v="High School"/>
    <x v="2"/>
    <x v="0"/>
  </r>
  <r>
    <n v="11131"/>
    <s v="MS."/>
    <x v="149"/>
    <s v="RIVERA"/>
    <s v="MS. AMANDA RIVERA"/>
    <x v="274"/>
    <n v="1980"/>
    <x v="1"/>
    <x v="1"/>
    <x v="1"/>
    <x v="1"/>
    <s v="amanda7@adventure-works.com"/>
    <s v="amanda7"/>
    <x v="7"/>
    <x v="2"/>
    <x v="2"/>
    <s v="High School"/>
    <x v="2"/>
    <x v="1"/>
  </r>
  <r>
    <n v="11132"/>
    <s v="MS."/>
    <x v="208"/>
    <s v="RICHARDSON"/>
    <s v="MS. MELISSA RICHARDSON"/>
    <x v="275"/>
    <n v="1980"/>
    <x v="0"/>
    <x v="0"/>
    <x v="1"/>
    <x v="1"/>
    <s v="melissa31@adventure-works.com"/>
    <s v="melissa31"/>
    <x v="7"/>
    <x v="2"/>
    <x v="2"/>
    <s v="High School"/>
    <x v="2"/>
    <x v="1"/>
  </r>
  <r>
    <n v="11133"/>
    <s v="MS."/>
    <x v="161"/>
    <s v="GRIFFIN"/>
    <s v="MS. ANGELA GRIFFIN"/>
    <x v="276"/>
    <n v="1980"/>
    <x v="0"/>
    <x v="0"/>
    <x v="1"/>
    <x v="1"/>
    <s v="angela23@adventure-works.com"/>
    <s v="angela23"/>
    <x v="7"/>
    <x v="2"/>
    <x v="2"/>
    <s v="Partial High School"/>
    <x v="3"/>
    <x v="1"/>
  </r>
  <r>
    <n v="11134"/>
    <s v="MR."/>
    <x v="209"/>
    <s v="TOWNSEND"/>
    <s v="MR. LARRY TOWNSEND"/>
    <x v="277"/>
    <n v="1946"/>
    <x v="0"/>
    <x v="0"/>
    <x v="0"/>
    <x v="0"/>
    <s v="larry14@adventure-works.com"/>
    <s v="larry14"/>
    <x v="8"/>
    <x v="2"/>
    <x v="1"/>
    <s v="High School"/>
    <x v="2"/>
    <x v="0"/>
  </r>
  <r>
    <n v="11135"/>
    <s v="MR."/>
    <x v="210"/>
    <s v="HARRIS"/>
    <s v="MR. MARCUS HARRIS"/>
    <x v="278"/>
    <n v="1979"/>
    <x v="0"/>
    <x v="0"/>
    <x v="0"/>
    <x v="0"/>
    <s v="marcus14@adventure-works.com"/>
    <s v="marcus14"/>
    <x v="7"/>
    <x v="2"/>
    <x v="2"/>
    <s v="Partial High School"/>
    <x v="3"/>
    <x v="1"/>
  </r>
  <r>
    <n v="11136"/>
    <s v="MS."/>
    <x v="211"/>
    <s v="MORGAN"/>
    <s v="MS. BRIANNA MORGAN"/>
    <x v="279"/>
    <n v="1978"/>
    <x v="0"/>
    <x v="0"/>
    <x v="1"/>
    <x v="1"/>
    <s v="brianna30@adventure-works.com"/>
    <s v="brianna30"/>
    <x v="10"/>
    <x v="2"/>
    <x v="2"/>
    <s v="High School"/>
    <x v="2"/>
    <x v="1"/>
  </r>
  <r>
    <n v="11137"/>
    <s v="MS."/>
    <x v="212"/>
    <s v="TAYLOR"/>
    <s v="MS. JASMINE TAYLOR"/>
    <x v="280"/>
    <n v="1978"/>
    <x v="1"/>
    <x v="1"/>
    <x v="1"/>
    <x v="1"/>
    <s v="jasmine7@adventure-works.com"/>
    <s v="jasmine7"/>
    <x v="10"/>
    <x v="2"/>
    <x v="2"/>
    <s v="High School"/>
    <x v="2"/>
    <x v="0"/>
  </r>
  <r>
    <n v="11138"/>
    <s v="MS."/>
    <x v="133"/>
    <s v="DAVIS"/>
    <s v="MS. LAUREN DAVIS"/>
    <x v="281"/>
    <n v="1978"/>
    <x v="1"/>
    <x v="1"/>
    <x v="1"/>
    <x v="1"/>
    <s v="lauren23@adventure-works.com"/>
    <s v="lauren23"/>
    <x v="10"/>
    <x v="2"/>
    <x v="2"/>
    <s v="High School"/>
    <x v="2"/>
    <x v="1"/>
  </r>
  <r>
    <n v="11139"/>
    <s v="MRS."/>
    <x v="213"/>
    <s v="MORENO"/>
    <s v="MRS. TANYA MORENO"/>
    <x v="282"/>
    <n v="1938"/>
    <x v="0"/>
    <x v="0"/>
    <x v="1"/>
    <x v="1"/>
    <s v="tanya2@adventure-works.com"/>
    <s v="tanya2"/>
    <x v="7"/>
    <x v="2"/>
    <x v="3"/>
    <s v="Partial College"/>
    <x v="3"/>
    <x v="1"/>
  </r>
  <r>
    <n v="11140"/>
    <s v="MR."/>
    <x v="214"/>
    <s v="ALVAREZ"/>
    <s v="MR. JAVIER ALVAREZ"/>
    <x v="283"/>
    <n v="1977"/>
    <x v="0"/>
    <x v="0"/>
    <x v="0"/>
    <x v="0"/>
    <s v="javier1@adventure-works.com"/>
    <s v="javier1"/>
    <x v="7"/>
    <x v="2"/>
    <x v="2"/>
    <s v="Partial High School"/>
    <x v="3"/>
    <x v="1"/>
  </r>
  <r>
    <n v="11141"/>
    <s v="MS."/>
    <x v="215"/>
    <s v="RAMIREZ"/>
    <s v="MS. NICOLE RAMIREZ"/>
    <x v="284"/>
    <n v="1977"/>
    <x v="1"/>
    <x v="1"/>
    <x v="1"/>
    <x v="1"/>
    <s v="nicole42@adventure-works.com"/>
    <s v="nicole42"/>
    <x v="10"/>
    <x v="2"/>
    <x v="2"/>
    <s v="High School"/>
    <x v="2"/>
    <x v="1"/>
  </r>
  <r>
    <n v="11142"/>
    <s v="MR."/>
    <x v="56"/>
    <s v="PATTERSON"/>
    <s v="MR. EDUARDO PATTERSON"/>
    <x v="285"/>
    <n v="1977"/>
    <x v="0"/>
    <x v="0"/>
    <x v="0"/>
    <x v="0"/>
    <s v="eduardo55@adventure-works.com"/>
    <s v="eduardo55"/>
    <x v="10"/>
    <x v="2"/>
    <x v="2"/>
    <s v="High School"/>
    <x v="2"/>
    <x v="1"/>
  </r>
  <r>
    <n v="11143"/>
    <s v="MR."/>
    <x v="43"/>
    <s v="HENDERSON"/>
    <s v="MR. JONATHAN HENDERSON"/>
    <x v="286"/>
    <n v="1977"/>
    <x v="1"/>
    <x v="1"/>
    <x v="0"/>
    <x v="0"/>
    <s v="jonathan4@adventure-works.com"/>
    <s v="jonathan4"/>
    <x v="10"/>
    <x v="2"/>
    <x v="2"/>
    <s v="High School"/>
    <x v="2"/>
    <x v="0"/>
  </r>
  <r>
    <n v="11144"/>
    <s v="MR."/>
    <x v="216"/>
    <s v="HERNANDEZ"/>
    <s v="MR. EDWARD HERNANDEZ"/>
    <x v="287"/>
    <n v="1979"/>
    <x v="0"/>
    <x v="0"/>
    <x v="0"/>
    <x v="0"/>
    <s v="edward48@adventure-works.com"/>
    <s v="edward48"/>
    <x v="10"/>
    <x v="2"/>
    <x v="2"/>
    <s v="High School"/>
    <x v="2"/>
    <x v="1"/>
  </r>
  <r>
    <n v="11145"/>
    <s v="MS."/>
    <x v="212"/>
    <s v="COLEMAN"/>
    <s v="MS. JASMINE COLEMAN"/>
    <x v="288"/>
    <n v="1979"/>
    <x v="0"/>
    <x v="0"/>
    <x v="1"/>
    <x v="1"/>
    <s v="jasmine46@adventure-works.com"/>
    <s v="jasmine46"/>
    <x v="10"/>
    <x v="2"/>
    <x v="2"/>
    <s v="High School"/>
    <x v="2"/>
    <x v="1"/>
  </r>
  <r>
    <n v="11146"/>
    <s v="MRS."/>
    <x v="217"/>
    <s v="GOEL"/>
    <s v="MRS. KARLA GOEL"/>
    <x v="289"/>
    <n v="1939"/>
    <x v="0"/>
    <x v="0"/>
    <x v="1"/>
    <x v="1"/>
    <s v="karla20@adventure-works.com"/>
    <s v="karla20"/>
    <x v="10"/>
    <x v="2"/>
    <x v="3"/>
    <s v="Bachelors"/>
    <x v="0"/>
    <x v="0"/>
  </r>
  <r>
    <n v="11147"/>
    <s v="MR."/>
    <x v="218"/>
    <s v="WU"/>
    <s v="MR. ERNEST WU"/>
    <x v="290"/>
    <n v="1939"/>
    <x v="1"/>
    <x v="1"/>
    <x v="0"/>
    <x v="0"/>
    <s v="ernest6@adventure-works.com"/>
    <s v="ernest6"/>
    <x v="3"/>
    <x v="1"/>
    <x v="3"/>
    <s v="Graduate Degree"/>
    <x v="0"/>
    <x v="0"/>
  </r>
  <r>
    <n v="11148"/>
    <s v="MR."/>
    <x v="202"/>
    <s v="VAZQUEZ"/>
    <s v="MR. ROSS VAZQUEZ"/>
    <x v="291"/>
    <n v="1941"/>
    <x v="1"/>
    <x v="1"/>
    <x v="0"/>
    <x v="0"/>
    <s v="ross32@adventure-works.com"/>
    <s v="ross32"/>
    <x v="10"/>
    <x v="2"/>
    <x v="3"/>
    <s v="Bachelors"/>
    <x v="0"/>
    <x v="0"/>
  </r>
  <r>
    <n v="11149"/>
    <s v="MR."/>
    <x v="219"/>
    <s v="GILL"/>
    <s v="MR. THEODORE GILL"/>
    <x v="292"/>
    <n v="1941"/>
    <x v="1"/>
    <x v="1"/>
    <x v="0"/>
    <x v="0"/>
    <s v="theodore14@adventure-works.com"/>
    <s v="theodore14"/>
    <x v="10"/>
    <x v="2"/>
    <x v="3"/>
    <s v="Bachelors"/>
    <x v="0"/>
    <x v="0"/>
  </r>
  <r>
    <n v="11150"/>
    <s v="MR."/>
    <x v="139"/>
    <s v="SHEN"/>
    <s v="MR. RUSSELL SHEN"/>
    <x v="293"/>
    <n v="1941"/>
    <x v="0"/>
    <x v="0"/>
    <x v="0"/>
    <x v="0"/>
    <s v="russell6@adventure-works.com"/>
    <s v="russell6"/>
    <x v="10"/>
    <x v="2"/>
    <x v="3"/>
    <s v="Bachelors"/>
    <x v="0"/>
    <x v="0"/>
  </r>
  <r>
    <n v="11151"/>
    <s v="MRS."/>
    <x v="220"/>
    <s v="GILL"/>
    <s v="MRS. MELINDA GILL"/>
    <x v="294"/>
    <n v="1942"/>
    <x v="0"/>
    <x v="0"/>
    <x v="1"/>
    <x v="1"/>
    <s v="melinda9@adventure-works.com"/>
    <s v="melinda9"/>
    <x v="3"/>
    <x v="1"/>
    <x v="3"/>
    <s v="Graduate Degree"/>
    <x v="0"/>
    <x v="1"/>
  </r>
  <r>
    <n v="11152"/>
    <s v="MR."/>
    <x v="13"/>
    <s v="WILLIAMS"/>
    <s v="MR. JAMES WILLIAMS"/>
    <x v="295"/>
    <n v="1976"/>
    <x v="0"/>
    <x v="0"/>
    <x v="0"/>
    <x v="0"/>
    <s v="james77@adventure-works.com"/>
    <s v="james77"/>
    <x v="10"/>
    <x v="2"/>
    <x v="2"/>
    <s v="High School"/>
    <x v="2"/>
    <x v="0"/>
  </r>
  <r>
    <n v="11153"/>
    <s v="MS."/>
    <x v="161"/>
    <s v="JAMES"/>
    <s v="MS. ANGELA JAMES"/>
    <x v="296"/>
    <n v="1976"/>
    <x v="1"/>
    <x v="1"/>
    <x v="1"/>
    <x v="1"/>
    <s v="angela34@adventure-works.com"/>
    <s v="angela34"/>
    <x v="10"/>
    <x v="2"/>
    <x v="2"/>
    <s v="High School"/>
    <x v="2"/>
    <x v="0"/>
  </r>
  <r>
    <n v="11154"/>
    <s v="MS."/>
    <x v="78"/>
    <s v="WALKER"/>
    <s v="MS. MEGAN WALKER"/>
    <x v="297"/>
    <n v="1976"/>
    <x v="0"/>
    <x v="0"/>
    <x v="1"/>
    <x v="1"/>
    <s v="megan25@adventure-works.com"/>
    <s v="megan25"/>
    <x v="10"/>
    <x v="2"/>
    <x v="2"/>
    <s v="Partial College"/>
    <x v="2"/>
    <x v="0"/>
  </r>
  <r>
    <n v="11155"/>
    <s v="MR."/>
    <x v="30"/>
    <s v="ROBINSON"/>
    <s v="MR. HUNTER ROBINSON"/>
    <x v="298"/>
    <n v="1976"/>
    <x v="0"/>
    <x v="0"/>
    <x v="0"/>
    <x v="0"/>
    <s v="hunter50@adventure-works.com"/>
    <s v="hunter50"/>
    <x v="10"/>
    <x v="2"/>
    <x v="2"/>
    <s v="Partial College"/>
    <x v="2"/>
    <x v="1"/>
  </r>
  <r>
    <n v="11156"/>
    <s v="MS."/>
    <x v="221"/>
    <s v="ROBERTS"/>
    <s v="MS. MARIA ROBERTS"/>
    <x v="299"/>
    <n v="1976"/>
    <x v="0"/>
    <x v="0"/>
    <x v="1"/>
    <x v="1"/>
    <s v="maria47@adventure-works.com"/>
    <s v="maria47"/>
    <x v="10"/>
    <x v="2"/>
    <x v="2"/>
    <s v="Partial College"/>
    <x v="2"/>
    <x v="1"/>
  </r>
  <r>
    <n v="11157"/>
    <s v="MS."/>
    <x v="94"/>
    <s v="LONG"/>
    <s v="MS. HANNAH LONG"/>
    <x v="300"/>
    <n v="1975"/>
    <x v="1"/>
    <x v="1"/>
    <x v="1"/>
    <x v="1"/>
    <s v="hannah32@adventure-works.com"/>
    <s v="hannah32"/>
    <x v="10"/>
    <x v="2"/>
    <x v="2"/>
    <s v="High School"/>
    <x v="2"/>
    <x v="0"/>
  </r>
  <r>
    <n v="11158"/>
    <s v="MR."/>
    <x v="222"/>
    <s v="WRIGHT"/>
    <s v="MR. JASON WRIGHT"/>
    <x v="301"/>
    <n v="1975"/>
    <x v="0"/>
    <x v="0"/>
    <x v="0"/>
    <x v="0"/>
    <s v="jason46@adventure-works.com"/>
    <s v="jason46"/>
    <x v="10"/>
    <x v="2"/>
    <x v="2"/>
    <s v="High School"/>
    <x v="2"/>
    <x v="0"/>
  </r>
  <r>
    <n v="11159"/>
    <s v="MS."/>
    <x v="211"/>
    <s v="HUGHES"/>
    <s v="MS. BRIANNA HUGHES"/>
    <x v="53"/>
    <n v="1975"/>
    <x v="0"/>
    <x v="0"/>
    <x v="1"/>
    <x v="1"/>
    <s v="brianna57@adventure-works.com"/>
    <s v="brianna57"/>
    <x v="10"/>
    <x v="2"/>
    <x v="2"/>
    <s v="High School"/>
    <x v="2"/>
    <x v="1"/>
  </r>
  <r>
    <n v="11160"/>
    <s v="MR."/>
    <x v="223"/>
    <s v="TANG"/>
    <s v="MR. MAURICE TANG"/>
    <x v="302"/>
    <n v="1974"/>
    <x v="0"/>
    <x v="0"/>
    <x v="0"/>
    <x v="0"/>
    <s v="maurice4@adventure-works.com"/>
    <s v="maurice4"/>
    <x v="10"/>
    <x v="2"/>
    <x v="2"/>
    <s v="Partial College"/>
    <x v="2"/>
    <x v="1"/>
  </r>
  <r>
    <n v="11161"/>
    <s v="MS."/>
    <x v="176"/>
    <s v="WOOD"/>
    <s v="MS. EMILY WOOD"/>
    <x v="303"/>
    <n v="1974"/>
    <x v="0"/>
    <x v="0"/>
    <x v="1"/>
    <x v="1"/>
    <s v="emily27@adventure-works.com"/>
    <s v="emily27"/>
    <x v="10"/>
    <x v="2"/>
    <x v="2"/>
    <s v="Partial College"/>
    <x v="2"/>
    <x v="1"/>
  </r>
  <r>
    <n v="11162"/>
    <s v="MR."/>
    <x v="162"/>
    <s v="COX"/>
    <s v="MR. CHASE COX"/>
    <x v="304"/>
    <n v="1974"/>
    <x v="0"/>
    <x v="0"/>
    <x v="0"/>
    <x v="0"/>
    <s v="chase10@adventure-works.com"/>
    <s v="chase10"/>
    <x v="10"/>
    <x v="2"/>
    <x v="2"/>
    <s v="Partial College"/>
    <x v="2"/>
    <x v="0"/>
  </r>
  <r>
    <n v="11163"/>
    <s v="MR."/>
    <x v="224"/>
    <s v="WANG"/>
    <s v="MR. GABRIEL WANG"/>
    <x v="305"/>
    <n v="1974"/>
    <x v="1"/>
    <x v="1"/>
    <x v="0"/>
    <x v="0"/>
    <s v="gabriel21@adventure-works.com"/>
    <s v="gabriel21"/>
    <x v="10"/>
    <x v="2"/>
    <x v="2"/>
    <s v="Partial College"/>
    <x v="2"/>
    <x v="0"/>
  </r>
  <r>
    <n v="11164"/>
    <s v="MR."/>
    <x v="225"/>
    <s v="BROOKS"/>
    <s v="MR. DEVIN BROOKS"/>
    <x v="306"/>
    <n v="1974"/>
    <x v="0"/>
    <x v="0"/>
    <x v="0"/>
    <x v="0"/>
    <s v="devin63@adventure-works.com"/>
    <s v="devin63"/>
    <x v="10"/>
    <x v="2"/>
    <x v="2"/>
    <s v="Partial College"/>
    <x v="2"/>
    <x v="1"/>
  </r>
  <r>
    <n v="11165"/>
    <s v="MS."/>
    <x v="226"/>
    <s v="ALEXANDER"/>
    <s v="MS. JOCELYN ALEXANDER"/>
    <x v="307"/>
    <n v="1973"/>
    <x v="1"/>
    <x v="1"/>
    <x v="1"/>
    <x v="1"/>
    <s v="jocelyn18@adventure-works.com"/>
    <s v="jocelyn18"/>
    <x v="3"/>
    <x v="1"/>
    <x v="2"/>
    <s v="Partial College"/>
    <x v="2"/>
    <x v="1"/>
  </r>
  <r>
    <n v="11166"/>
    <s v="MS."/>
    <x v="227"/>
    <s v="MARTINEZ"/>
    <s v="MS. ASHLEY MARTINEZ"/>
    <x v="308"/>
    <n v="1972"/>
    <x v="0"/>
    <x v="0"/>
    <x v="1"/>
    <x v="1"/>
    <s v="ashley18@adventure-works.com"/>
    <s v="ashley18"/>
    <x v="4"/>
    <x v="1"/>
    <x v="2"/>
    <s v="Partial College"/>
    <x v="2"/>
    <x v="1"/>
  </r>
  <r>
    <n v="11167"/>
    <s v="MS."/>
    <x v="212"/>
    <s v="BARNES"/>
    <s v="MS. JASMINE BARNES"/>
    <x v="309"/>
    <n v="1972"/>
    <x v="0"/>
    <x v="0"/>
    <x v="1"/>
    <x v="1"/>
    <s v="jasmine43@adventure-works.com"/>
    <s v="jasmine43"/>
    <x v="1"/>
    <x v="1"/>
    <x v="2"/>
    <s v="Bachelors"/>
    <x v="0"/>
    <x v="1"/>
  </r>
  <r>
    <n v="11168"/>
    <s v="MR."/>
    <x v="228"/>
    <s v="RODRIGUEZ"/>
    <s v="MR. DAVID RODRIGUEZ"/>
    <x v="310"/>
    <n v="1968"/>
    <x v="0"/>
    <x v="0"/>
    <x v="0"/>
    <x v="0"/>
    <s v="david83@adventure-works.com"/>
    <s v="david83"/>
    <x v="1"/>
    <x v="1"/>
    <x v="2"/>
    <s v="Bachelors"/>
    <x v="0"/>
    <x v="1"/>
  </r>
  <r>
    <n v="11169"/>
    <s v="MR."/>
    <x v="50"/>
    <s v="RICHARDSON"/>
    <s v="MR. BRYCE RICHARDSON"/>
    <x v="311"/>
    <n v="1968"/>
    <x v="1"/>
    <x v="1"/>
    <x v="0"/>
    <x v="0"/>
    <s v="bryce8@adventure-works.com"/>
    <s v="bryce8"/>
    <x v="2"/>
    <x v="1"/>
    <x v="5"/>
    <s v="Bachelors"/>
    <x v="0"/>
    <x v="0"/>
  </r>
  <r>
    <n v="11170"/>
    <s v="MRS."/>
    <x v="153"/>
    <s v="HOWARD"/>
    <s v="MRS. CAROL HOWARD"/>
    <x v="312"/>
    <n v="1968"/>
    <x v="1"/>
    <x v="1"/>
    <x v="1"/>
    <x v="1"/>
    <s v="carol5@adventure-works.com"/>
    <s v="carol5"/>
    <x v="2"/>
    <x v="1"/>
    <x v="5"/>
    <s v="Bachelors"/>
    <x v="0"/>
    <x v="0"/>
  </r>
  <r>
    <n v="11171"/>
    <s v="MR."/>
    <x v="43"/>
    <s v="HILL"/>
    <s v="MR. JONATHAN HILL"/>
    <x v="313"/>
    <n v="1967"/>
    <x v="0"/>
    <x v="0"/>
    <x v="0"/>
    <x v="0"/>
    <s v="jonathan43@adventure-works.com"/>
    <s v="jonathan43"/>
    <x v="5"/>
    <x v="0"/>
    <x v="0"/>
    <s v="Bachelors"/>
    <x v="0"/>
    <x v="0"/>
  </r>
  <r>
    <n v="11172"/>
    <s v="MRS."/>
    <x v="124"/>
    <s v="ADAMS"/>
    <s v="MRS. GABRIELLE ADAMS"/>
    <x v="314"/>
    <n v="1967"/>
    <x v="1"/>
    <x v="1"/>
    <x v="1"/>
    <x v="1"/>
    <s v="gabrielle58@adventure-works.com"/>
    <s v="gabrielle58"/>
    <x v="5"/>
    <x v="0"/>
    <x v="0"/>
    <s v="Bachelors"/>
    <x v="0"/>
    <x v="0"/>
  </r>
  <r>
    <n v="11173"/>
    <s v="MS."/>
    <x v="229"/>
    <s v="THOMAS"/>
    <s v="MS. SARAH THOMAS"/>
    <x v="315"/>
    <n v="1967"/>
    <x v="0"/>
    <x v="0"/>
    <x v="1"/>
    <x v="1"/>
    <s v="sarah13@adventure-works.com"/>
    <s v="sarah13"/>
    <x v="6"/>
    <x v="0"/>
    <x v="2"/>
    <s v="Graduate Degree"/>
    <x v="0"/>
    <x v="1"/>
  </r>
  <r>
    <n v="11174"/>
    <s v="MR."/>
    <x v="230"/>
    <s v="ROBINSON"/>
    <s v="MR. NICHOLAS ROBINSON"/>
    <x v="316"/>
    <n v="1967"/>
    <x v="1"/>
    <x v="1"/>
    <x v="0"/>
    <x v="0"/>
    <s v="nicholas19@adventure-works.com"/>
    <s v="nicholas19"/>
    <x v="6"/>
    <x v="0"/>
    <x v="2"/>
    <s v="Graduate Degree"/>
    <x v="0"/>
    <x v="0"/>
  </r>
  <r>
    <n v="11175"/>
    <s v="MR."/>
    <x v="75"/>
    <s v="WANG"/>
    <s v="MR. LUIS WANG"/>
    <x v="317"/>
    <n v="1963"/>
    <x v="0"/>
    <x v="0"/>
    <x v="0"/>
    <x v="0"/>
    <s v="luis24@adventure-works.com"/>
    <s v="luis24"/>
    <x v="4"/>
    <x v="1"/>
    <x v="2"/>
    <s v="Partial College"/>
    <x v="2"/>
    <x v="0"/>
  </r>
  <r>
    <n v="11176"/>
    <s v="MR."/>
    <x v="231"/>
    <s v="ROBERTS"/>
    <s v="MR. MASON ROBERTS"/>
    <x v="318"/>
    <n v="1968"/>
    <x v="1"/>
    <x v="1"/>
    <x v="0"/>
    <x v="0"/>
    <s v="mason25@adventure-works.com"/>
    <s v="mason25"/>
    <x v="2"/>
    <x v="1"/>
    <x v="5"/>
    <s v="Bachelors"/>
    <x v="0"/>
    <x v="0"/>
  </r>
  <r>
    <n v="11177"/>
    <s v="MR."/>
    <x v="232"/>
    <s v="FLORES"/>
    <s v="MR. JOSE FLORES"/>
    <x v="319"/>
    <n v="1942"/>
    <x v="1"/>
    <x v="1"/>
    <x v="0"/>
    <x v="0"/>
    <s v="jose6@adventure-works.com"/>
    <s v="jose6"/>
    <x v="6"/>
    <x v="0"/>
    <x v="3"/>
    <s v="Graduate Degree"/>
    <x v="0"/>
    <x v="0"/>
  </r>
  <r>
    <n v="11178"/>
    <s v="MR."/>
    <x v="150"/>
    <s v="JOHNSON"/>
    <s v="MR. NATHAN JOHNSON"/>
    <x v="320"/>
    <n v="1943"/>
    <x v="1"/>
    <x v="1"/>
    <x v="0"/>
    <x v="0"/>
    <s v="nathan55@adventure-works.com"/>
    <s v="nathan55"/>
    <x v="5"/>
    <x v="0"/>
    <x v="3"/>
    <s v="Graduate Degree"/>
    <x v="0"/>
    <x v="0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  <r>
    <m/>
    <m/>
    <x v="233"/>
    <m/>
    <s v="  "/>
    <x v="321"/>
    <m/>
    <x v="2"/>
    <x v="2"/>
    <x v="3"/>
    <x v="2"/>
    <m/>
    <m/>
    <x v="15"/>
    <x v="4"/>
    <x v="6"/>
    <m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F780D-E23E-C74D-AB9D-FA3EF8A8394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7:D103" firstHeaderRow="1" firstDataRow="2" firstDataCol="1"/>
  <pivotFields count="22">
    <pivotField showAll="0"/>
    <pivotField showAll="0"/>
    <pivotField showAll="0">
      <items count="235">
        <item x="205"/>
        <item x="197"/>
        <item x="185"/>
        <item x="179"/>
        <item x="61"/>
        <item x="181"/>
        <item x="154"/>
        <item x="7"/>
        <item x="68"/>
        <item x="87"/>
        <item x="60"/>
        <item x="45"/>
        <item x="40"/>
        <item x="195"/>
        <item x="174"/>
        <item x="149"/>
        <item x="167"/>
        <item x="156"/>
        <item x="183"/>
        <item x="161"/>
        <item x="10"/>
        <item x="15"/>
        <item x="158"/>
        <item x="227"/>
        <item x="46"/>
        <item x="143"/>
        <item x="95"/>
        <item x="77"/>
        <item x="41"/>
        <item x="17"/>
        <item x="109"/>
        <item x="211"/>
        <item x="6"/>
        <item x="96"/>
        <item x="50"/>
        <item x="200"/>
        <item x="163"/>
        <item x="39"/>
        <item x="189"/>
        <item x="157"/>
        <item x="116"/>
        <item x="153"/>
        <item x="207"/>
        <item x="165"/>
        <item x="58"/>
        <item x="110"/>
        <item x="187"/>
        <item x="103"/>
        <item x="120"/>
        <item x="182"/>
        <item x="162"/>
        <item x="93"/>
        <item x="135"/>
        <item x="152"/>
        <item x="128"/>
        <item x="0"/>
        <item x="97"/>
        <item x="196"/>
        <item x="25"/>
        <item x="67"/>
        <item x="192"/>
        <item x="92"/>
        <item x="27"/>
        <item x="172"/>
        <item x="203"/>
        <item x="76"/>
        <item x="228"/>
        <item x="81"/>
        <item x="71"/>
        <item x="47"/>
        <item x="4"/>
        <item x="18"/>
        <item x="225"/>
        <item x="111"/>
        <item x="147"/>
        <item x="22"/>
        <item x="171"/>
        <item x="90"/>
        <item x="188"/>
        <item x="56"/>
        <item x="216"/>
        <item x="70"/>
        <item x="79"/>
        <item x="176"/>
        <item x="62"/>
        <item x="9"/>
        <item x="218"/>
        <item x="48"/>
        <item x="55"/>
        <item x="198"/>
        <item x="99"/>
        <item x="168"/>
        <item x="224"/>
        <item x="119"/>
        <item x="124"/>
        <item x="118"/>
        <item x="170"/>
        <item x="65"/>
        <item x="89"/>
        <item x="94"/>
        <item x="140"/>
        <item x="155"/>
        <item x="30"/>
        <item x="134"/>
        <item x="125"/>
        <item x="100"/>
        <item x="114"/>
        <item x="132"/>
        <item x="145"/>
        <item x="13"/>
        <item x="49"/>
        <item x="212"/>
        <item x="222"/>
        <item x="214"/>
        <item x="86"/>
        <item x="28"/>
        <item x="26"/>
        <item x="148"/>
        <item x="57"/>
        <item x="141"/>
        <item x="2"/>
        <item x="142"/>
        <item x="226"/>
        <item x="113"/>
        <item x="126"/>
        <item x="43"/>
        <item x="84"/>
        <item x="74"/>
        <item x="232"/>
        <item x="108"/>
        <item x="73"/>
        <item x="186"/>
        <item x="129"/>
        <item x="190"/>
        <item x="217"/>
        <item x="42"/>
        <item x="54"/>
        <item x="104"/>
        <item x="32"/>
        <item x="66"/>
        <item x="20"/>
        <item x="31"/>
        <item x="72"/>
        <item x="33"/>
        <item x="11"/>
        <item x="123"/>
        <item x="209"/>
        <item x="102"/>
        <item x="133"/>
        <item x="169"/>
        <item x="151"/>
        <item x="194"/>
        <item x="101"/>
        <item x="122"/>
        <item x="175"/>
        <item x="75"/>
        <item x="137"/>
        <item x="106"/>
        <item x="19"/>
        <item x="184"/>
        <item x="23"/>
        <item x="105"/>
        <item x="210"/>
        <item x="221"/>
        <item x="88"/>
        <item x="91"/>
        <item x="231"/>
        <item x="223"/>
        <item x="78"/>
        <item x="220"/>
        <item x="208"/>
        <item x="191"/>
        <item x="193"/>
        <item x="69"/>
        <item x="83"/>
        <item x="85"/>
        <item x="8"/>
        <item x="52"/>
        <item x="150"/>
        <item x="230"/>
        <item x="215"/>
        <item x="160"/>
        <item x="59"/>
        <item x="199"/>
        <item x="51"/>
        <item x="201"/>
        <item x="21"/>
        <item x="53"/>
        <item x="3"/>
        <item x="14"/>
        <item x="24"/>
        <item x="130"/>
        <item x="44"/>
        <item x="1"/>
        <item x="202"/>
        <item x="38"/>
        <item x="127"/>
        <item x="139"/>
        <item x="177"/>
        <item x="206"/>
        <item x="112"/>
        <item x="229"/>
        <item x="173"/>
        <item x="138"/>
        <item x="107"/>
        <item x="131"/>
        <item x="204"/>
        <item x="29"/>
        <item x="64"/>
        <item x="178"/>
        <item x="213"/>
        <item x="115"/>
        <item x="35"/>
        <item x="219"/>
        <item x="144"/>
        <item x="63"/>
        <item x="164"/>
        <item x="159"/>
        <item x="180"/>
        <item x="37"/>
        <item x="121"/>
        <item x="98"/>
        <item x="12"/>
        <item x="34"/>
        <item x="117"/>
        <item x="80"/>
        <item x="146"/>
        <item x="5"/>
        <item x="82"/>
        <item x="166"/>
        <item x="36"/>
        <item x="136"/>
        <item x="16"/>
        <item x="233"/>
        <item t="default"/>
      </items>
    </pivotField>
    <pivotField showAll="0"/>
    <pivotField showAll="0"/>
    <pivotField axis="axisRow" dataField="1" showAll="0">
      <items count="323">
        <item x="129"/>
        <item x="263"/>
        <item x="131"/>
        <item x="144"/>
        <item x="282"/>
        <item x="290"/>
        <item x="289"/>
        <item x="293"/>
        <item x="292"/>
        <item x="291"/>
        <item x="294"/>
        <item x="319"/>
        <item x="320"/>
        <item x="164"/>
        <item x="165"/>
        <item x="17"/>
        <item x="19"/>
        <item x="172"/>
        <item x="143"/>
        <item x="277"/>
        <item x="173"/>
        <item x="175"/>
        <item x="20"/>
        <item x="174"/>
        <item x="176"/>
        <item x="177"/>
        <item x="22"/>
        <item x="23"/>
        <item x="179"/>
        <item x="181"/>
        <item x="178"/>
        <item x="21"/>
        <item x="180"/>
        <item x="24"/>
        <item x="182"/>
        <item x="185"/>
        <item x="25"/>
        <item x="186"/>
        <item x="33"/>
        <item x="269"/>
        <item x="191"/>
        <item x="37"/>
        <item x="35"/>
        <item x="194"/>
        <item x="193"/>
        <item x="36"/>
        <item x="192"/>
        <item x="34"/>
        <item x="195"/>
        <item x="198"/>
        <item x="199"/>
        <item x="197"/>
        <item x="39"/>
        <item x="41"/>
        <item x="40"/>
        <item x="43"/>
        <item x="201"/>
        <item x="200"/>
        <item x="42"/>
        <item x="47"/>
        <item x="46"/>
        <item x="45"/>
        <item x="44"/>
        <item x="202"/>
        <item x="48"/>
        <item x="135"/>
        <item x="203"/>
        <item x="49"/>
        <item x="207"/>
        <item x="206"/>
        <item x="205"/>
        <item x="204"/>
        <item x="50"/>
        <item x="218"/>
        <item x="75"/>
        <item x="216"/>
        <item x="74"/>
        <item x="217"/>
        <item x="215"/>
        <item x="214"/>
        <item x="77"/>
        <item x="134"/>
        <item x="268"/>
        <item x="76"/>
        <item x="219"/>
        <item x="220"/>
        <item x="233"/>
        <item x="78"/>
        <item x="93"/>
        <item x="80"/>
        <item x="235"/>
        <item x="96"/>
        <item x="79"/>
        <item x="262"/>
        <item x="222"/>
        <item x="99"/>
        <item x="230"/>
        <item x="94"/>
        <item x="267"/>
        <item x="130"/>
        <item x="98"/>
        <item x="229"/>
        <item x="100"/>
        <item x="232"/>
        <item x="97"/>
        <item x="92"/>
        <item x="95"/>
        <item x="221"/>
        <item x="234"/>
        <item x="231"/>
        <item x="81"/>
        <item x="127"/>
        <item x="224"/>
        <item x="89"/>
        <item x="225"/>
        <item x="90"/>
        <item x="128"/>
        <item x="88"/>
        <item x="251"/>
        <item x="126"/>
        <item x="132"/>
        <item x="265"/>
        <item x="133"/>
        <item x="266"/>
        <item x="115"/>
        <item x="244"/>
        <item x="264"/>
        <item x="261"/>
        <item x="243"/>
        <item x="242"/>
        <item x="109"/>
        <item x="108"/>
        <item x="241"/>
        <item x="259"/>
        <item x="257"/>
        <item x="255"/>
        <item x="238"/>
        <item x="258"/>
        <item x="254"/>
        <item x="103"/>
        <item x="104"/>
        <item x="105"/>
        <item x="240"/>
        <item x="107"/>
        <item x="239"/>
        <item x="256"/>
        <item x="260"/>
        <item x="106"/>
        <item x="317"/>
        <item x="102"/>
        <item x="252"/>
        <item x="101"/>
        <item x="158"/>
        <item x="253"/>
        <item x="122"/>
        <item x="157"/>
        <item x="120"/>
        <item x="248"/>
        <item x="156"/>
        <item x="124"/>
        <item x="119"/>
        <item x="154"/>
        <item x="125"/>
        <item x="155"/>
        <item x="121"/>
        <item x="250"/>
        <item x="247"/>
        <item x="12"/>
        <item x="123"/>
        <item x="249"/>
        <item x="8"/>
        <item x="117"/>
        <item x="246"/>
        <item x="10"/>
        <item x="245"/>
        <item x="149"/>
        <item x="7"/>
        <item x="118"/>
        <item x="153"/>
        <item x="150"/>
        <item x="9"/>
        <item x="11"/>
        <item x="6"/>
        <item x="116"/>
        <item x="114"/>
        <item x="228"/>
        <item x="148"/>
        <item x="5"/>
        <item x="111"/>
        <item x="113"/>
        <item x="110"/>
        <item x="226"/>
        <item x="227"/>
        <item x="4"/>
        <item x="112"/>
        <item x="91"/>
        <item x="2"/>
        <item x="3"/>
        <item x="236"/>
        <item x="316"/>
        <item x="1"/>
        <item x="315"/>
        <item x="237"/>
        <item x="313"/>
        <item x="314"/>
        <item x="159"/>
        <item x="318"/>
        <item x="312"/>
        <item x="151"/>
        <item x="161"/>
        <item x="310"/>
        <item x="311"/>
        <item x="15"/>
        <item x="14"/>
        <item x="13"/>
        <item x="160"/>
        <item x="152"/>
        <item x="0"/>
        <item x="308"/>
        <item x="309"/>
        <item x="82"/>
        <item x="70"/>
        <item x="307"/>
        <item x="211"/>
        <item x="69"/>
        <item x="71"/>
        <item x="212"/>
        <item x="302"/>
        <item x="223"/>
        <item x="67"/>
        <item x="87"/>
        <item x="304"/>
        <item x="62"/>
        <item x="63"/>
        <item x="84"/>
        <item x="64"/>
        <item x="303"/>
        <item x="306"/>
        <item x="85"/>
        <item x="60"/>
        <item x="61"/>
        <item x="68"/>
        <item x="65"/>
        <item x="83"/>
        <item x="86"/>
        <item x="66"/>
        <item x="305"/>
        <item x="137"/>
        <item x="58"/>
        <item x="136"/>
        <item x="209"/>
        <item x="52"/>
        <item x="59"/>
        <item x="300"/>
        <item x="56"/>
        <item x="272"/>
        <item x="57"/>
        <item x="208"/>
        <item x="53"/>
        <item x="55"/>
        <item x="301"/>
        <item x="54"/>
        <item x="270"/>
        <item x="51"/>
        <item x="271"/>
        <item x="210"/>
        <item x="295"/>
        <item x="72"/>
        <item x="139"/>
        <item x="298"/>
        <item x="299"/>
        <item x="190"/>
        <item x="140"/>
        <item x="296"/>
        <item x="297"/>
        <item x="138"/>
        <item x="73"/>
        <item x="213"/>
        <item x="32"/>
        <item x="286"/>
        <item x="283"/>
        <item x="30"/>
        <item x="31"/>
        <item x="189"/>
        <item x="284"/>
        <item x="29"/>
        <item x="187"/>
        <item x="285"/>
        <item x="28"/>
        <item x="27"/>
        <item x="188"/>
        <item x="184"/>
        <item x="26"/>
        <item x="146"/>
        <item x="166"/>
        <item x="280"/>
        <item x="168"/>
        <item x="281"/>
        <item x="171"/>
        <item x="167"/>
        <item x="170"/>
        <item x="169"/>
        <item x="279"/>
        <item x="145"/>
        <item x="183"/>
        <item x="16"/>
        <item x="162"/>
        <item x="18"/>
        <item x="163"/>
        <item x="287"/>
        <item x="147"/>
        <item x="278"/>
        <item x="288"/>
        <item x="273"/>
        <item x="274"/>
        <item x="142"/>
        <item x="196"/>
        <item x="38"/>
        <item x="141"/>
        <item x="276"/>
        <item x="275"/>
        <item x="321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axis="axisCol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>
      <items count="6">
        <item x="1"/>
        <item x="2"/>
        <item x="0"/>
        <item x="3"/>
        <item h="1" x="4"/>
        <item t="default"/>
      </items>
    </pivotField>
    <pivotField showAll="0">
      <items count="8">
        <item x="2"/>
        <item x="0"/>
        <item x="3"/>
        <item x="4"/>
        <item x="5"/>
        <item x="1"/>
        <item x="6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t="default"/>
      </items>
    </pivotField>
  </pivotFields>
  <rowFields count="4">
    <field x="21"/>
    <field x="20"/>
    <field x="19"/>
    <field x="5"/>
  </rowFields>
  <rowItems count="45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BirthDate" fld="5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05F6D0-B13B-3946-82D8-60757887DC3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7:B51" firstHeaderRow="1" firstDataRow="1" firstDataCol="1"/>
  <pivotFields count="22">
    <pivotField showAll="0"/>
    <pivotField showAll="0"/>
    <pivotField showAll="0">
      <items count="235">
        <item x="205"/>
        <item x="197"/>
        <item x="185"/>
        <item x="179"/>
        <item x="61"/>
        <item x="181"/>
        <item x="154"/>
        <item x="7"/>
        <item x="68"/>
        <item x="87"/>
        <item x="60"/>
        <item x="45"/>
        <item x="40"/>
        <item x="195"/>
        <item x="174"/>
        <item x="149"/>
        <item x="167"/>
        <item x="156"/>
        <item x="183"/>
        <item x="161"/>
        <item x="10"/>
        <item x="15"/>
        <item x="158"/>
        <item x="227"/>
        <item x="46"/>
        <item x="143"/>
        <item x="95"/>
        <item x="77"/>
        <item x="41"/>
        <item x="17"/>
        <item x="109"/>
        <item x="211"/>
        <item x="6"/>
        <item x="96"/>
        <item x="50"/>
        <item x="200"/>
        <item x="163"/>
        <item x="39"/>
        <item x="189"/>
        <item x="157"/>
        <item x="116"/>
        <item x="153"/>
        <item x="207"/>
        <item x="165"/>
        <item x="58"/>
        <item x="110"/>
        <item x="187"/>
        <item x="103"/>
        <item x="120"/>
        <item x="182"/>
        <item x="162"/>
        <item x="93"/>
        <item x="135"/>
        <item x="152"/>
        <item x="128"/>
        <item x="0"/>
        <item x="97"/>
        <item x="196"/>
        <item x="25"/>
        <item x="67"/>
        <item x="192"/>
        <item x="92"/>
        <item x="27"/>
        <item x="172"/>
        <item x="203"/>
        <item x="76"/>
        <item x="228"/>
        <item x="81"/>
        <item x="71"/>
        <item x="47"/>
        <item x="4"/>
        <item x="18"/>
        <item x="225"/>
        <item x="111"/>
        <item x="147"/>
        <item x="22"/>
        <item x="171"/>
        <item x="90"/>
        <item x="188"/>
        <item x="56"/>
        <item x="216"/>
        <item x="70"/>
        <item x="79"/>
        <item x="176"/>
        <item x="62"/>
        <item x="9"/>
        <item x="218"/>
        <item x="48"/>
        <item x="55"/>
        <item x="198"/>
        <item x="99"/>
        <item x="168"/>
        <item x="224"/>
        <item x="119"/>
        <item x="124"/>
        <item x="118"/>
        <item x="170"/>
        <item x="65"/>
        <item x="89"/>
        <item x="94"/>
        <item x="140"/>
        <item x="155"/>
        <item x="30"/>
        <item x="134"/>
        <item x="125"/>
        <item x="100"/>
        <item x="114"/>
        <item x="132"/>
        <item x="145"/>
        <item x="13"/>
        <item x="49"/>
        <item x="212"/>
        <item x="222"/>
        <item x="214"/>
        <item x="86"/>
        <item x="28"/>
        <item x="26"/>
        <item x="148"/>
        <item x="57"/>
        <item x="141"/>
        <item x="2"/>
        <item x="142"/>
        <item x="226"/>
        <item x="113"/>
        <item x="126"/>
        <item x="43"/>
        <item x="84"/>
        <item x="74"/>
        <item x="232"/>
        <item x="108"/>
        <item x="73"/>
        <item x="186"/>
        <item x="129"/>
        <item x="190"/>
        <item x="217"/>
        <item x="42"/>
        <item x="54"/>
        <item x="104"/>
        <item x="32"/>
        <item x="66"/>
        <item x="20"/>
        <item x="31"/>
        <item x="72"/>
        <item x="33"/>
        <item x="11"/>
        <item x="123"/>
        <item x="209"/>
        <item x="102"/>
        <item x="133"/>
        <item x="169"/>
        <item x="151"/>
        <item x="194"/>
        <item x="101"/>
        <item x="122"/>
        <item x="175"/>
        <item x="75"/>
        <item x="137"/>
        <item x="106"/>
        <item x="19"/>
        <item x="184"/>
        <item x="23"/>
        <item x="105"/>
        <item x="210"/>
        <item x="221"/>
        <item x="88"/>
        <item x="91"/>
        <item x="231"/>
        <item x="223"/>
        <item x="78"/>
        <item x="220"/>
        <item x="208"/>
        <item x="191"/>
        <item x="193"/>
        <item x="69"/>
        <item x="83"/>
        <item x="85"/>
        <item x="8"/>
        <item x="52"/>
        <item x="150"/>
        <item x="230"/>
        <item x="215"/>
        <item x="160"/>
        <item x="59"/>
        <item x="199"/>
        <item x="51"/>
        <item x="201"/>
        <item x="21"/>
        <item x="53"/>
        <item x="3"/>
        <item x="14"/>
        <item x="24"/>
        <item x="130"/>
        <item x="44"/>
        <item x="1"/>
        <item x="202"/>
        <item x="38"/>
        <item x="127"/>
        <item x="139"/>
        <item x="177"/>
        <item x="206"/>
        <item x="112"/>
        <item x="229"/>
        <item x="173"/>
        <item x="138"/>
        <item x="107"/>
        <item x="131"/>
        <item x="204"/>
        <item x="29"/>
        <item x="64"/>
        <item x="178"/>
        <item x="213"/>
        <item x="115"/>
        <item x="35"/>
        <item x="219"/>
        <item x="144"/>
        <item x="63"/>
        <item x="164"/>
        <item x="159"/>
        <item x="180"/>
        <item x="37"/>
        <item x="121"/>
        <item x="98"/>
        <item x="12"/>
        <item x="34"/>
        <item x="117"/>
        <item x="80"/>
        <item x="146"/>
        <item x="5"/>
        <item x="82"/>
        <item x="166"/>
        <item x="36"/>
        <item x="136"/>
        <item x="16"/>
        <item x="233"/>
        <item t="default"/>
      </items>
    </pivotField>
    <pivotField showAll="0"/>
    <pivotField showAll="0"/>
    <pivotField dataField="1" showAll="0">
      <items count="323">
        <item x="129"/>
        <item x="263"/>
        <item x="131"/>
        <item x="144"/>
        <item x="282"/>
        <item x="290"/>
        <item x="289"/>
        <item x="293"/>
        <item x="292"/>
        <item x="291"/>
        <item x="294"/>
        <item x="319"/>
        <item x="320"/>
        <item x="164"/>
        <item x="165"/>
        <item x="17"/>
        <item x="19"/>
        <item x="172"/>
        <item x="143"/>
        <item x="277"/>
        <item x="173"/>
        <item x="175"/>
        <item x="20"/>
        <item x="174"/>
        <item x="176"/>
        <item x="177"/>
        <item x="22"/>
        <item x="23"/>
        <item x="179"/>
        <item x="181"/>
        <item x="178"/>
        <item x="21"/>
        <item x="180"/>
        <item x="24"/>
        <item x="182"/>
        <item x="185"/>
        <item x="25"/>
        <item x="186"/>
        <item x="33"/>
        <item x="269"/>
        <item x="191"/>
        <item x="37"/>
        <item x="35"/>
        <item x="194"/>
        <item x="193"/>
        <item x="36"/>
        <item x="192"/>
        <item x="34"/>
        <item x="195"/>
        <item x="198"/>
        <item x="199"/>
        <item x="197"/>
        <item x="39"/>
        <item x="41"/>
        <item x="40"/>
        <item x="43"/>
        <item x="201"/>
        <item x="200"/>
        <item x="42"/>
        <item x="47"/>
        <item x="46"/>
        <item x="45"/>
        <item x="44"/>
        <item x="202"/>
        <item x="48"/>
        <item x="135"/>
        <item x="203"/>
        <item x="49"/>
        <item x="207"/>
        <item x="206"/>
        <item x="205"/>
        <item x="204"/>
        <item x="50"/>
        <item x="218"/>
        <item x="75"/>
        <item x="216"/>
        <item x="74"/>
        <item x="217"/>
        <item x="215"/>
        <item x="214"/>
        <item x="77"/>
        <item x="134"/>
        <item x="268"/>
        <item x="76"/>
        <item x="219"/>
        <item x="220"/>
        <item x="233"/>
        <item x="78"/>
        <item x="93"/>
        <item x="80"/>
        <item x="235"/>
        <item x="96"/>
        <item x="79"/>
        <item x="262"/>
        <item x="222"/>
        <item x="99"/>
        <item x="230"/>
        <item x="94"/>
        <item x="267"/>
        <item x="130"/>
        <item x="98"/>
        <item x="229"/>
        <item x="100"/>
        <item x="232"/>
        <item x="97"/>
        <item x="92"/>
        <item x="95"/>
        <item x="221"/>
        <item x="234"/>
        <item x="231"/>
        <item x="81"/>
        <item x="127"/>
        <item x="224"/>
        <item x="89"/>
        <item x="225"/>
        <item x="90"/>
        <item x="128"/>
        <item x="88"/>
        <item x="251"/>
        <item x="126"/>
        <item x="132"/>
        <item x="265"/>
        <item x="133"/>
        <item x="266"/>
        <item x="115"/>
        <item x="244"/>
        <item x="264"/>
        <item x="261"/>
        <item x="243"/>
        <item x="242"/>
        <item x="109"/>
        <item x="108"/>
        <item x="241"/>
        <item x="259"/>
        <item x="257"/>
        <item x="255"/>
        <item x="238"/>
        <item x="258"/>
        <item x="254"/>
        <item x="103"/>
        <item x="104"/>
        <item x="105"/>
        <item x="240"/>
        <item x="107"/>
        <item x="239"/>
        <item x="256"/>
        <item x="260"/>
        <item x="106"/>
        <item x="317"/>
        <item x="102"/>
        <item x="252"/>
        <item x="101"/>
        <item x="158"/>
        <item x="253"/>
        <item x="122"/>
        <item x="157"/>
        <item x="120"/>
        <item x="248"/>
        <item x="156"/>
        <item x="124"/>
        <item x="119"/>
        <item x="154"/>
        <item x="125"/>
        <item x="155"/>
        <item x="121"/>
        <item x="250"/>
        <item x="247"/>
        <item x="12"/>
        <item x="123"/>
        <item x="249"/>
        <item x="8"/>
        <item x="117"/>
        <item x="246"/>
        <item x="10"/>
        <item x="245"/>
        <item x="149"/>
        <item x="7"/>
        <item x="118"/>
        <item x="153"/>
        <item x="150"/>
        <item x="9"/>
        <item x="11"/>
        <item x="6"/>
        <item x="116"/>
        <item x="114"/>
        <item x="228"/>
        <item x="148"/>
        <item x="5"/>
        <item x="111"/>
        <item x="113"/>
        <item x="110"/>
        <item x="226"/>
        <item x="227"/>
        <item x="4"/>
        <item x="112"/>
        <item x="91"/>
        <item x="2"/>
        <item x="3"/>
        <item x="236"/>
        <item x="316"/>
        <item x="1"/>
        <item x="315"/>
        <item x="237"/>
        <item x="313"/>
        <item x="314"/>
        <item x="159"/>
        <item x="318"/>
        <item x="312"/>
        <item x="151"/>
        <item x="161"/>
        <item x="310"/>
        <item x="311"/>
        <item x="15"/>
        <item x="14"/>
        <item x="13"/>
        <item x="160"/>
        <item x="152"/>
        <item x="0"/>
        <item x="308"/>
        <item x="309"/>
        <item x="82"/>
        <item x="70"/>
        <item x="307"/>
        <item x="211"/>
        <item x="69"/>
        <item x="71"/>
        <item x="212"/>
        <item x="302"/>
        <item x="223"/>
        <item x="67"/>
        <item x="87"/>
        <item x="304"/>
        <item x="62"/>
        <item x="63"/>
        <item x="84"/>
        <item x="64"/>
        <item x="303"/>
        <item x="306"/>
        <item x="85"/>
        <item x="60"/>
        <item x="61"/>
        <item x="68"/>
        <item x="65"/>
        <item x="83"/>
        <item x="86"/>
        <item x="66"/>
        <item x="305"/>
        <item x="137"/>
        <item x="58"/>
        <item x="136"/>
        <item x="209"/>
        <item x="52"/>
        <item x="59"/>
        <item x="300"/>
        <item x="56"/>
        <item x="272"/>
        <item x="57"/>
        <item x="208"/>
        <item x="53"/>
        <item x="55"/>
        <item x="301"/>
        <item x="54"/>
        <item x="270"/>
        <item x="51"/>
        <item x="271"/>
        <item x="210"/>
        <item x="295"/>
        <item x="72"/>
        <item x="139"/>
        <item x="298"/>
        <item x="299"/>
        <item x="190"/>
        <item x="140"/>
        <item x="296"/>
        <item x="297"/>
        <item x="138"/>
        <item x="73"/>
        <item x="213"/>
        <item x="32"/>
        <item x="286"/>
        <item x="283"/>
        <item x="30"/>
        <item x="31"/>
        <item x="189"/>
        <item x="284"/>
        <item x="29"/>
        <item x="187"/>
        <item x="285"/>
        <item x="28"/>
        <item x="27"/>
        <item x="188"/>
        <item x="184"/>
        <item x="26"/>
        <item x="146"/>
        <item x="166"/>
        <item x="280"/>
        <item x="168"/>
        <item x="281"/>
        <item x="171"/>
        <item x="167"/>
        <item x="170"/>
        <item x="169"/>
        <item x="279"/>
        <item x="145"/>
        <item x="183"/>
        <item x="16"/>
        <item x="162"/>
        <item x="18"/>
        <item x="163"/>
        <item x="287"/>
        <item x="147"/>
        <item x="278"/>
        <item x="288"/>
        <item x="273"/>
        <item x="274"/>
        <item x="142"/>
        <item x="196"/>
        <item x="38"/>
        <item x="141"/>
        <item x="276"/>
        <item x="275"/>
        <item x="321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6">
        <item x="1"/>
        <item x="2"/>
        <item x="0"/>
        <item x="3"/>
        <item h="1" x="4"/>
        <item t="default"/>
      </items>
    </pivotField>
    <pivotField showAll="0">
      <items count="8">
        <item x="2"/>
        <item x="0"/>
        <item x="3"/>
        <item x="4"/>
        <item x="5"/>
        <item x="1"/>
        <item x="6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BirthDa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BDB9C-6F2E-444A-B574-66FFCCE27C8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4:K42" firstHeaderRow="1" firstDataRow="3" firstDataCol="1"/>
  <pivotFields count="22">
    <pivotField showAll="0"/>
    <pivotField showAll="0"/>
    <pivotField showAll="0"/>
    <pivotField showAll="0"/>
    <pivotField showAll="0"/>
    <pivotField showAll="0">
      <items count="323">
        <item x="129"/>
        <item x="263"/>
        <item x="131"/>
        <item x="144"/>
        <item x="282"/>
        <item x="290"/>
        <item x="289"/>
        <item x="293"/>
        <item x="292"/>
        <item x="291"/>
        <item x="294"/>
        <item x="319"/>
        <item x="320"/>
        <item x="164"/>
        <item x="165"/>
        <item x="17"/>
        <item x="19"/>
        <item x="172"/>
        <item x="143"/>
        <item x="277"/>
        <item x="173"/>
        <item x="175"/>
        <item x="20"/>
        <item x="174"/>
        <item x="176"/>
        <item x="177"/>
        <item x="22"/>
        <item x="23"/>
        <item x="179"/>
        <item x="181"/>
        <item x="178"/>
        <item x="21"/>
        <item x="180"/>
        <item x="24"/>
        <item x="182"/>
        <item x="185"/>
        <item x="25"/>
        <item x="186"/>
        <item x="33"/>
        <item x="269"/>
        <item x="191"/>
        <item x="37"/>
        <item x="35"/>
        <item x="194"/>
        <item x="193"/>
        <item x="36"/>
        <item x="192"/>
        <item x="34"/>
        <item x="195"/>
        <item x="198"/>
        <item x="199"/>
        <item x="197"/>
        <item x="39"/>
        <item x="41"/>
        <item x="40"/>
        <item x="43"/>
        <item x="201"/>
        <item x="200"/>
        <item x="42"/>
        <item x="47"/>
        <item x="46"/>
        <item x="45"/>
        <item x="44"/>
        <item x="202"/>
        <item x="48"/>
        <item x="135"/>
        <item x="203"/>
        <item x="49"/>
        <item x="207"/>
        <item x="206"/>
        <item x="205"/>
        <item x="204"/>
        <item x="50"/>
        <item x="218"/>
        <item x="75"/>
        <item x="216"/>
        <item x="74"/>
        <item x="217"/>
        <item x="215"/>
        <item x="214"/>
        <item x="77"/>
        <item x="134"/>
        <item x="268"/>
        <item x="76"/>
        <item x="219"/>
        <item x="220"/>
        <item x="233"/>
        <item x="78"/>
        <item x="93"/>
        <item x="80"/>
        <item x="235"/>
        <item x="96"/>
        <item x="79"/>
        <item x="262"/>
        <item x="222"/>
        <item x="99"/>
        <item x="230"/>
        <item x="94"/>
        <item x="267"/>
        <item x="130"/>
        <item x="98"/>
        <item x="229"/>
        <item x="100"/>
        <item x="232"/>
        <item x="97"/>
        <item x="92"/>
        <item x="95"/>
        <item x="221"/>
        <item x="234"/>
        <item x="231"/>
        <item x="81"/>
        <item x="127"/>
        <item x="224"/>
        <item x="89"/>
        <item x="225"/>
        <item x="90"/>
        <item x="128"/>
        <item x="88"/>
        <item x="251"/>
        <item x="126"/>
        <item x="132"/>
        <item x="265"/>
        <item x="133"/>
        <item x="266"/>
        <item x="115"/>
        <item x="244"/>
        <item x="264"/>
        <item x="261"/>
        <item x="243"/>
        <item x="242"/>
        <item x="109"/>
        <item x="108"/>
        <item x="241"/>
        <item x="259"/>
        <item x="257"/>
        <item x="255"/>
        <item x="238"/>
        <item x="258"/>
        <item x="254"/>
        <item x="103"/>
        <item x="104"/>
        <item x="105"/>
        <item x="240"/>
        <item x="107"/>
        <item x="239"/>
        <item x="256"/>
        <item x="260"/>
        <item x="106"/>
        <item x="317"/>
        <item x="102"/>
        <item x="252"/>
        <item x="101"/>
        <item x="158"/>
        <item x="253"/>
        <item x="122"/>
        <item x="157"/>
        <item x="120"/>
        <item x="248"/>
        <item x="156"/>
        <item x="124"/>
        <item x="119"/>
        <item x="154"/>
        <item x="125"/>
        <item x="155"/>
        <item x="121"/>
        <item x="250"/>
        <item x="247"/>
        <item x="12"/>
        <item x="123"/>
        <item x="249"/>
        <item x="8"/>
        <item x="117"/>
        <item x="246"/>
        <item x="10"/>
        <item x="245"/>
        <item x="149"/>
        <item x="7"/>
        <item x="118"/>
        <item x="153"/>
        <item x="150"/>
        <item x="9"/>
        <item x="11"/>
        <item x="6"/>
        <item x="116"/>
        <item x="114"/>
        <item x="228"/>
        <item x="148"/>
        <item x="5"/>
        <item x="111"/>
        <item x="113"/>
        <item x="110"/>
        <item x="226"/>
        <item x="227"/>
        <item x="4"/>
        <item x="112"/>
        <item x="91"/>
        <item x="2"/>
        <item x="3"/>
        <item x="236"/>
        <item x="316"/>
        <item x="1"/>
        <item x="315"/>
        <item x="237"/>
        <item x="313"/>
        <item x="314"/>
        <item x="159"/>
        <item x="318"/>
        <item x="312"/>
        <item x="151"/>
        <item x="161"/>
        <item x="310"/>
        <item x="311"/>
        <item x="15"/>
        <item x="14"/>
        <item x="13"/>
        <item x="160"/>
        <item x="152"/>
        <item x="0"/>
        <item x="308"/>
        <item x="309"/>
        <item x="82"/>
        <item x="70"/>
        <item x="307"/>
        <item x="211"/>
        <item x="69"/>
        <item x="71"/>
        <item x="212"/>
        <item x="302"/>
        <item x="223"/>
        <item x="67"/>
        <item x="87"/>
        <item x="304"/>
        <item x="62"/>
        <item x="63"/>
        <item x="84"/>
        <item x="64"/>
        <item x="303"/>
        <item x="306"/>
        <item x="85"/>
        <item x="60"/>
        <item x="61"/>
        <item x="68"/>
        <item x="65"/>
        <item x="83"/>
        <item x="86"/>
        <item x="66"/>
        <item x="305"/>
        <item x="137"/>
        <item x="58"/>
        <item x="136"/>
        <item x="209"/>
        <item x="52"/>
        <item x="59"/>
        <item x="300"/>
        <item x="56"/>
        <item x="272"/>
        <item x="57"/>
        <item x="208"/>
        <item x="53"/>
        <item x="55"/>
        <item x="301"/>
        <item x="54"/>
        <item x="270"/>
        <item x="51"/>
        <item x="271"/>
        <item x="210"/>
        <item x="295"/>
        <item x="72"/>
        <item x="139"/>
        <item x="298"/>
        <item x="299"/>
        <item x="190"/>
        <item x="140"/>
        <item x="296"/>
        <item x="297"/>
        <item x="138"/>
        <item x="73"/>
        <item x="213"/>
        <item x="32"/>
        <item x="286"/>
        <item x="283"/>
        <item x="30"/>
        <item x="31"/>
        <item x="189"/>
        <item x="284"/>
        <item x="29"/>
        <item x="187"/>
        <item x="285"/>
        <item x="28"/>
        <item x="27"/>
        <item x="188"/>
        <item x="184"/>
        <item x="26"/>
        <item x="146"/>
        <item x="166"/>
        <item x="280"/>
        <item x="168"/>
        <item x="281"/>
        <item x="171"/>
        <item x="167"/>
        <item x="170"/>
        <item x="169"/>
        <item x="279"/>
        <item x="145"/>
        <item x="183"/>
        <item x="16"/>
        <item x="162"/>
        <item x="18"/>
        <item x="163"/>
        <item x="287"/>
        <item x="147"/>
        <item x="278"/>
        <item x="288"/>
        <item x="273"/>
        <item x="274"/>
        <item x="142"/>
        <item x="196"/>
        <item x="38"/>
        <item x="141"/>
        <item x="276"/>
        <item x="275"/>
        <item x="321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Row" dataField="1" showAll="0">
      <items count="17">
        <item x="8"/>
        <item x="9"/>
        <item x="7"/>
        <item x="10"/>
        <item x="12"/>
        <item x="3"/>
        <item x="4"/>
        <item x="1"/>
        <item x="2"/>
        <item x="5"/>
        <item x="6"/>
        <item x="11"/>
        <item x="0"/>
        <item x="13"/>
        <item x="14"/>
        <item x="15"/>
        <item t="default"/>
      </items>
    </pivotField>
    <pivotField showAll="0">
      <items count="6">
        <item x="1"/>
        <item x="2"/>
        <item x="0"/>
        <item x="3"/>
        <item h="1" x="4"/>
        <item t="default"/>
      </items>
    </pivotField>
    <pivotField showAll="0"/>
    <pivotField showAll="0"/>
    <pivotField axis="axisCol" dataField="1" showAll="0">
      <items count="6">
        <item x="3"/>
        <item x="0"/>
        <item x="1"/>
        <item x="2"/>
        <item h="1"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</pivotFields>
  <rowFields count="1">
    <field x="1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17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Occupation" fld="17" subtotal="count" baseField="0" baseItem="0"/>
    <dataField name="Sum of AnnualIncome" fld="13" baseField="0" baseItem="0"/>
  </dataFields>
  <formats count="4">
    <format dxfId="3">
      <pivotArea dataOnly="0" outline="0" fieldPosition="0">
        <references count="1">
          <reference field="17" count="1">
            <x v="0"/>
          </reference>
        </references>
      </pivotArea>
    </format>
    <format dxfId="2">
      <pivotArea dataOnly="0" outline="0" fieldPosition="0">
        <references count="2">
          <reference field="4294967294" count="2">
            <x v="0"/>
            <x v="1"/>
          </reference>
          <reference field="17" count="1" selected="0">
            <x v="2"/>
          </reference>
        </references>
      </pivotArea>
    </format>
    <format dxfId="1">
      <pivotArea field="17" dataOnly="0" grandCol="1" outline="0" axis="axisCol" fieldPosition="0">
        <references count="1">
          <reference field="4294967294" count="2" selected="0">
            <x v="0"/>
            <x v="1"/>
          </reference>
        </references>
      </pivotArea>
    </format>
    <format dxfId="0">
      <pivotArea field="17" dataOnly="0" grandCol="1" outline="0" axis="axisCol" fieldPosition="0">
        <references count="1">
          <reference field="4294967294" count="2" selected="0">
            <x v="0"/>
            <x v="1"/>
          </reference>
        </references>
      </pivotArea>
    </format>
  </format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0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2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3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0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32FF5-75E9-FF40-8AEF-CA9019C3CE3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4:E19" firstHeaderRow="1" firstDataRow="2" firstDataCol="1"/>
  <pivotFields count="22">
    <pivotField showAll="0"/>
    <pivotField showAll="0"/>
    <pivotField showAll="0"/>
    <pivotField showAll="0"/>
    <pivotField showAll="0"/>
    <pivotField showAll="0">
      <items count="323">
        <item x="129"/>
        <item x="263"/>
        <item x="131"/>
        <item x="144"/>
        <item x="282"/>
        <item x="290"/>
        <item x="289"/>
        <item x="293"/>
        <item x="292"/>
        <item x="291"/>
        <item x="294"/>
        <item x="319"/>
        <item x="320"/>
        <item x="164"/>
        <item x="165"/>
        <item x="17"/>
        <item x="19"/>
        <item x="172"/>
        <item x="143"/>
        <item x="277"/>
        <item x="173"/>
        <item x="175"/>
        <item x="20"/>
        <item x="174"/>
        <item x="176"/>
        <item x="177"/>
        <item x="22"/>
        <item x="23"/>
        <item x="179"/>
        <item x="181"/>
        <item x="178"/>
        <item x="21"/>
        <item x="180"/>
        <item x="24"/>
        <item x="182"/>
        <item x="185"/>
        <item x="25"/>
        <item x="186"/>
        <item x="33"/>
        <item x="269"/>
        <item x="191"/>
        <item x="37"/>
        <item x="35"/>
        <item x="194"/>
        <item x="193"/>
        <item x="36"/>
        <item x="192"/>
        <item x="34"/>
        <item x="195"/>
        <item x="198"/>
        <item x="199"/>
        <item x="197"/>
        <item x="39"/>
        <item x="41"/>
        <item x="40"/>
        <item x="43"/>
        <item x="201"/>
        <item x="200"/>
        <item x="42"/>
        <item x="47"/>
        <item x="46"/>
        <item x="45"/>
        <item x="44"/>
        <item x="202"/>
        <item x="48"/>
        <item x="135"/>
        <item x="203"/>
        <item x="49"/>
        <item x="207"/>
        <item x="206"/>
        <item x="205"/>
        <item x="204"/>
        <item x="50"/>
        <item x="218"/>
        <item x="75"/>
        <item x="216"/>
        <item x="74"/>
        <item x="217"/>
        <item x="215"/>
        <item x="214"/>
        <item x="77"/>
        <item x="134"/>
        <item x="268"/>
        <item x="76"/>
        <item x="219"/>
        <item x="220"/>
        <item x="233"/>
        <item x="78"/>
        <item x="93"/>
        <item x="80"/>
        <item x="235"/>
        <item x="96"/>
        <item x="79"/>
        <item x="262"/>
        <item x="222"/>
        <item x="99"/>
        <item x="230"/>
        <item x="94"/>
        <item x="267"/>
        <item x="130"/>
        <item x="98"/>
        <item x="229"/>
        <item x="100"/>
        <item x="232"/>
        <item x="97"/>
        <item x="92"/>
        <item x="95"/>
        <item x="221"/>
        <item x="234"/>
        <item x="231"/>
        <item x="81"/>
        <item x="127"/>
        <item x="224"/>
        <item x="89"/>
        <item x="225"/>
        <item x="90"/>
        <item x="128"/>
        <item x="88"/>
        <item x="251"/>
        <item x="126"/>
        <item x="132"/>
        <item x="265"/>
        <item x="133"/>
        <item x="266"/>
        <item x="115"/>
        <item x="244"/>
        <item x="264"/>
        <item x="261"/>
        <item x="243"/>
        <item x="242"/>
        <item x="109"/>
        <item x="108"/>
        <item x="241"/>
        <item x="259"/>
        <item x="257"/>
        <item x="255"/>
        <item x="238"/>
        <item x="258"/>
        <item x="254"/>
        <item x="103"/>
        <item x="104"/>
        <item x="105"/>
        <item x="240"/>
        <item x="107"/>
        <item x="239"/>
        <item x="256"/>
        <item x="260"/>
        <item x="106"/>
        <item x="317"/>
        <item x="102"/>
        <item x="252"/>
        <item x="101"/>
        <item x="158"/>
        <item x="253"/>
        <item x="122"/>
        <item x="157"/>
        <item x="120"/>
        <item x="248"/>
        <item x="156"/>
        <item x="124"/>
        <item x="119"/>
        <item x="154"/>
        <item x="125"/>
        <item x="155"/>
        <item x="121"/>
        <item x="250"/>
        <item x="247"/>
        <item x="12"/>
        <item x="123"/>
        <item x="249"/>
        <item x="8"/>
        <item x="117"/>
        <item x="246"/>
        <item x="10"/>
        <item x="245"/>
        <item x="149"/>
        <item x="7"/>
        <item x="118"/>
        <item x="153"/>
        <item x="150"/>
        <item x="9"/>
        <item x="11"/>
        <item x="6"/>
        <item x="116"/>
        <item x="114"/>
        <item x="228"/>
        <item x="148"/>
        <item x="5"/>
        <item x="111"/>
        <item x="113"/>
        <item x="110"/>
        <item x="226"/>
        <item x="227"/>
        <item x="4"/>
        <item x="112"/>
        <item x="91"/>
        <item x="2"/>
        <item x="3"/>
        <item x="236"/>
        <item x="316"/>
        <item x="1"/>
        <item x="315"/>
        <item x="237"/>
        <item x="313"/>
        <item x="314"/>
        <item x="159"/>
        <item x="318"/>
        <item x="312"/>
        <item x="151"/>
        <item x="161"/>
        <item x="310"/>
        <item x="311"/>
        <item x="15"/>
        <item x="14"/>
        <item x="13"/>
        <item x="160"/>
        <item x="152"/>
        <item x="0"/>
        <item x="308"/>
        <item x="309"/>
        <item x="82"/>
        <item x="70"/>
        <item x="307"/>
        <item x="211"/>
        <item x="69"/>
        <item x="71"/>
        <item x="212"/>
        <item x="302"/>
        <item x="223"/>
        <item x="67"/>
        <item x="87"/>
        <item x="304"/>
        <item x="62"/>
        <item x="63"/>
        <item x="84"/>
        <item x="64"/>
        <item x="303"/>
        <item x="306"/>
        <item x="85"/>
        <item x="60"/>
        <item x="61"/>
        <item x="68"/>
        <item x="65"/>
        <item x="83"/>
        <item x="86"/>
        <item x="66"/>
        <item x="305"/>
        <item x="137"/>
        <item x="58"/>
        <item x="136"/>
        <item x="209"/>
        <item x="52"/>
        <item x="59"/>
        <item x="300"/>
        <item x="56"/>
        <item x="272"/>
        <item x="57"/>
        <item x="208"/>
        <item x="53"/>
        <item x="55"/>
        <item x="301"/>
        <item x="54"/>
        <item x="270"/>
        <item x="51"/>
        <item x="271"/>
        <item x="210"/>
        <item x="295"/>
        <item x="72"/>
        <item x="139"/>
        <item x="298"/>
        <item x="299"/>
        <item x="190"/>
        <item x="140"/>
        <item x="296"/>
        <item x="297"/>
        <item x="138"/>
        <item x="73"/>
        <item x="213"/>
        <item x="32"/>
        <item x="286"/>
        <item x="283"/>
        <item x="30"/>
        <item x="31"/>
        <item x="189"/>
        <item x="284"/>
        <item x="29"/>
        <item x="187"/>
        <item x="285"/>
        <item x="28"/>
        <item x="27"/>
        <item x="188"/>
        <item x="184"/>
        <item x="26"/>
        <item x="146"/>
        <item x="166"/>
        <item x="280"/>
        <item x="168"/>
        <item x="281"/>
        <item x="171"/>
        <item x="167"/>
        <item x="170"/>
        <item x="169"/>
        <item x="279"/>
        <item x="145"/>
        <item x="183"/>
        <item x="16"/>
        <item x="162"/>
        <item x="18"/>
        <item x="163"/>
        <item x="287"/>
        <item x="147"/>
        <item x="278"/>
        <item x="288"/>
        <item x="273"/>
        <item x="274"/>
        <item x="142"/>
        <item x="196"/>
        <item x="38"/>
        <item x="141"/>
        <item x="276"/>
        <item x="275"/>
        <item x="321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6">
        <item x="1"/>
        <item x="2"/>
        <item x="0"/>
        <item x="3"/>
        <item h="1" x="4"/>
        <item t="default"/>
      </items>
    </pivotField>
    <pivotField showAll="0"/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Count of HomeOwner" fld="18" subtotal="count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B2990-0502-634E-8396-37ADE06720B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D9" firstHeaderRow="1" firstDataRow="2" firstDataCol="1"/>
  <pivotFields count="22">
    <pivotField showAll="0"/>
    <pivotField showAll="0"/>
    <pivotField showAll="0"/>
    <pivotField showAll="0"/>
    <pivotField showAll="0"/>
    <pivotField showAll="0">
      <items count="323">
        <item x="129"/>
        <item x="263"/>
        <item x="131"/>
        <item x="144"/>
        <item x="282"/>
        <item x="290"/>
        <item x="289"/>
        <item x="293"/>
        <item x="292"/>
        <item x="291"/>
        <item x="294"/>
        <item x="319"/>
        <item x="320"/>
        <item x="164"/>
        <item x="165"/>
        <item x="17"/>
        <item x="19"/>
        <item x="172"/>
        <item x="143"/>
        <item x="277"/>
        <item x="173"/>
        <item x="175"/>
        <item x="20"/>
        <item x="174"/>
        <item x="176"/>
        <item x="177"/>
        <item x="22"/>
        <item x="23"/>
        <item x="179"/>
        <item x="181"/>
        <item x="178"/>
        <item x="21"/>
        <item x="180"/>
        <item x="24"/>
        <item x="182"/>
        <item x="185"/>
        <item x="25"/>
        <item x="186"/>
        <item x="33"/>
        <item x="269"/>
        <item x="191"/>
        <item x="37"/>
        <item x="35"/>
        <item x="194"/>
        <item x="193"/>
        <item x="36"/>
        <item x="192"/>
        <item x="34"/>
        <item x="195"/>
        <item x="198"/>
        <item x="199"/>
        <item x="197"/>
        <item x="39"/>
        <item x="41"/>
        <item x="40"/>
        <item x="43"/>
        <item x="201"/>
        <item x="200"/>
        <item x="42"/>
        <item x="47"/>
        <item x="46"/>
        <item x="45"/>
        <item x="44"/>
        <item x="202"/>
        <item x="48"/>
        <item x="135"/>
        <item x="203"/>
        <item x="49"/>
        <item x="207"/>
        <item x="206"/>
        <item x="205"/>
        <item x="204"/>
        <item x="50"/>
        <item x="218"/>
        <item x="75"/>
        <item x="216"/>
        <item x="74"/>
        <item x="217"/>
        <item x="215"/>
        <item x="214"/>
        <item x="77"/>
        <item x="134"/>
        <item x="268"/>
        <item x="76"/>
        <item x="219"/>
        <item x="220"/>
        <item x="233"/>
        <item x="78"/>
        <item x="93"/>
        <item x="80"/>
        <item x="235"/>
        <item x="96"/>
        <item x="79"/>
        <item x="262"/>
        <item x="222"/>
        <item x="99"/>
        <item x="230"/>
        <item x="94"/>
        <item x="267"/>
        <item x="130"/>
        <item x="98"/>
        <item x="229"/>
        <item x="100"/>
        <item x="232"/>
        <item x="97"/>
        <item x="92"/>
        <item x="95"/>
        <item x="221"/>
        <item x="234"/>
        <item x="231"/>
        <item x="81"/>
        <item x="127"/>
        <item x="224"/>
        <item x="89"/>
        <item x="225"/>
        <item x="90"/>
        <item x="128"/>
        <item x="88"/>
        <item x="251"/>
        <item x="126"/>
        <item x="132"/>
        <item x="265"/>
        <item x="133"/>
        <item x="266"/>
        <item x="115"/>
        <item x="244"/>
        <item x="264"/>
        <item x="261"/>
        <item x="243"/>
        <item x="242"/>
        <item x="109"/>
        <item x="108"/>
        <item x="241"/>
        <item x="259"/>
        <item x="257"/>
        <item x="255"/>
        <item x="238"/>
        <item x="258"/>
        <item x="254"/>
        <item x="103"/>
        <item x="104"/>
        <item x="105"/>
        <item x="240"/>
        <item x="107"/>
        <item x="239"/>
        <item x="256"/>
        <item x="260"/>
        <item x="106"/>
        <item x="317"/>
        <item x="102"/>
        <item x="252"/>
        <item x="101"/>
        <item x="158"/>
        <item x="253"/>
        <item x="122"/>
        <item x="157"/>
        <item x="120"/>
        <item x="248"/>
        <item x="156"/>
        <item x="124"/>
        <item x="119"/>
        <item x="154"/>
        <item x="125"/>
        <item x="155"/>
        <item x="121"/>
        <item x="250"/>
        <item x="247"/>
        <item x="12"/>
        <item x="123"/>
        <item x="249"/>
        <item x="8"/>
        <item x="117"/>
        <item x="246"/>
        <item x="10"/>
        <item x="245"/>
        <item x="149"/>
        <item x="7"/>
        <item x="118"/>
        <item x="153"/>
        <item x="150"/>
        <item x="9"/>
        <item x="11"/>
        <item x="6"/>
        <item x="116"/>
        <item x="114"/>
        <item x="228"/>
        <item x="148"/>
        <item x="5"/>
        <item x="111"/>
        <item x="113"/>
        <item x="110"/>
        <item x="226"/>
        <item x="227"/>
        <item x="4"/>
        <item x="112"/>
        <item x="91"/>
        <item x="2"/>
        <item x="3"/>
        <item x="236"/>
        <item x="316"/>
        <item x="1"/>
        <item x="315"/>
        <item x="237"/>
        <item x="313"/>
        <item x="314"/>
        <item x="159"/>
        <item x="318"/>
        <item x="312"/>
        <item x="151"/>
        <item x="161"/>
        <item x="310"/>
        <item x="311"/>
        <item x="15"/>
        <item x="14"/>
        <item x="13"/>
        <item x="160"/>
        <item x="152"/>
        <item x="0"/>
        <item x="308"/>
        <item x="309"/>
        <item x="82"/>
        <item x="70"/>
        <item x="307"/>
        <item x="211"/>
        <item x="69"/>
        <item x="71"/>
        <item x="212"/>
        <item x="302"/>
        <item x="223"/>
        <item x="67"/>
        <item x="87"/>
        <item x="304"/>
        <item x="62"/>
        <item x="63"/>
        <item x="84"/>
        <item x="64"/>
        <item x="303"/>
        <item x="306"/>
        <item x="85"/>
        <item x="60"/>
        <item x="61"/>
        <item x="68"/>
        <item x="65"/>
        <item x="83"/>
        <item x="86"/>
        <item x="66"/>
        <item x="305"/>
        <item x="137"/>
        <item x="58"/>
        <item x="136"/>
        <item x="209"/>
        <item x="52"/>
        <item x="59"/>
        <item x="300"/>
        <item x="56"/>
        <item x="272"/>
        <item x="57"/>
        <item x="208"/>
        <item x="53"/>
        <item x="55"/>
        <item x="301"/>
        <item x="54"/>
        <item x="270"/>
        <item x="51"/>
        <item x="271"/>
        <item x="210"/>
        <item x="295"/>
        <item x="72"/>
        <item x="139"/>
        <item x="298"/>
        <item x="299"/>
        <item x="190"/>
        <item x="140"/>
        <item x="296"/>
        <item x="297"/>
        <item x="138"/>
        <item x="73"/>
        <item x="213"/>
        <item x="32"/>
        <item x="286"/>
        <item x="283"/>
        <item x="30"/>
        <item x="31"/>
        <item x="189"/>
        <item x="284"/>
        <item x="29"/>
        <item x="187"/>
        <item x="285"/>
        <item x="28"/>
        <item x="27"/>
        <item x="188"/>
        <item x="184"/>
        <item x="26"/>
        <item x="146"/>
        <item x="166"/>
        <item x="280"/>
        <item x="168"/>
        <item x="281"/>
        <item x="171"/>
        <item x="167"/>
        <item x="170"/>
        <item x="169"/>
        <item x="279"/>
        <item x="145"/>
        <item x="183"/>
        <item x="16"/>
        <item x="162"/>
        <item x="18"/>
        <item x="163"/>
        <item x="287"/>
        <item x="147"/>
        <item x="278"/>
        <item x="288"/>
        <item x="273"/>
        <item x="274"/>
        <item x="142"/>
        <item x="196"/>
        <item x="38"/>
        <item x="141"/>
        <item x="276"/>
        <item x="275"/>
        <item x="321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6">
        <item x="1"/>
        <item x="2"/>
        <item x="0"/>
        <item x="3"/>
        <item h="1" x="4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Wealth Category" fld="14" subtotal="count" baseField="0" baseItem="0"/>
  </dataFields>
  <chartFormats count="3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4" count="1" selected="0">
            <x v="0"/>
          </reference>
        </references>
      </pivotArea>
    </chartFormat>
    <chartFormat chart="8" format="1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4" count="1" selected="0">
            <x v="1"/>
          </reference>
        </references>
      </pivotArea>
    </chartFormat>
    <chartFormat chart="8" format="1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4" count="1" selected="0">
            <x v="2"/>
          </reference>
        </references>
      </pivotArea>
    </chartFormat>
    <chartFormat chart="8" format="1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4" count="1" selected="0">
            <x v="3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1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4" count="1" selected="0">
            <x v="0"/>
          </reference>
        </references>
      </pivotArea>
    </chartFormat>
    <chartFormat chart="8" format="1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4" count="1" selected="0">
            <x v="1"/>
          </reference>
        </references>
      </pivotArea>
    </chartFormat>
    <chartFormat chart="8" format="2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4" count="1" selected="0">
            <x v="2"/>
          </reference>
        </references>
      </pivotArea>
    </chartFormat>
    <chartFormat chart="8" format="2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4" count="1" selected="0">
            <x v="3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2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4" count="1" selected="0">
            <x v="0"/>
          </reference>
        </references>
      </pivotArea>
    </chartFormat>
    <chartFormat chart="9" format="2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4" count="1" selected="0">
            <x v="1"/>
          </reference>
        </references>
      </pivotArea>
    </chartFormat>
    <chartFormat chart="9" format="2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4" count="1" selected="0">
            <x v="2"/>
          </reference>
        </references>
      </pivotArea>
    </chartFormat>
    <chartFormat chart="9" format="2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4" count="1" selected="0">
            <x v="3"/>
          </reference>
        </references>
      </pivotArea>
    </chartFormat>
    <chartFormat chart="9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4" count="1" selected="0">
            <x v="0"/>
          </reference>
        </references>
      </pivotArea>
    </chartFormat>
    <chartFormat chart="9" format="2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4" count="1" selected="0">
            <x v="1"/>
          </reference>
        </references>
      </pivotArea>
    </chartFormat>
    <chartFormat chart="9" format="3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4" count="1" selected="0">
            <x v="2"/>
          </reference>
        </references>
      </pivotArea>
    </chartFormat>
    <chartFormat chart="9" format="3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4" count="1" selected="0">
            <x v="3"/>
          </reference>
        </references>
      </pivotArea>
    </chartFormat>
    <chartFormat chart="3" format="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4" count="1" selected="0">
            <x v="0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4" count="1" selected="0">
            <x v="1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4" count="1" selected="0">
            <x v="2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4" count="1" selected="0">
            <x v="3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4" count="1" selected="0">
            <x v="0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4" count="1" selected="0">
            <x v="1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4" count="1" selected="0">
            <x v="2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C60F4-07E3-3B45-B434-7D3B4494533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37:K40" firstHeaderRow="1" firstDataRow="1" firstDataCol="1"/>
  <pivotFields count="22">
    <pivotField showAll="0"/>
    <pivotField showAll="0"/>
    <pivotField showAll="0">
      <items count="235">
        <item x="205"/>
        <item x="197"/>
        <item x="185"/>
        <item x="179"/>
        <item x="61"/>
        <item x="181"/>
        <item x="154"/>
        <item x="7"/>
        <item x="68"/>
        <item x="87"/>
        <item x="60"/>
        <item x="45"/>
        <item x="40"/>
        <item x="195"/>
        <item x="174"/>
        <item x="149"/>
        <item x="167"/>
        <item x="156"/>
        <item x="183"/>
        <item x="161"/>
        <item x="10"/>
        <item x="15"/>
        <item x="158"/>
        <item x="227"/>
        <item x="46"/>
        <item x="143"/>
        <item x="95"/>
        <item x="77"/>
        <item x="41"/>
        <item x="17"/>
        <item x="109"/>
        <item x="211"/>
        <item x="6"/>
        <item x="96"/>
        <item x="50"/>
        <item x="200"/>
        <item x="163"/>
        <item x="39"/>
        <item x="189"/>
        <item x="157"/>
        <item x="116"/>
        <item x="153"/>
        <item x="207"/>
        <item x="165"/>
        <item x="58"/>
        <item x="110"/>
        <item x="187"/>
        <item x="103"/>
        <item x="120"/>
        <item x="182"/>
        <item x="162"/>
        <item x="93"/>
        <item x="135"/>
        <item x="152"/>
        <item x="128"/>
        <item x="0"/>
        <item x="97"/>
        <item x="196"/>
        <item x="25"/>
        <item x="67"/>
        <item x="192"/>
        <item x="92"/>
        <item x="27"/>
        <item x="172"/>
        <item x="203"/>
        <item x="76"/>
        <item x="228"/>
        <item x="81"/>
        <item x="71"/>
        <item x="47"/>
        <item x="4"/>
        <item x="18"/>
        <item x="225"/>
        <item x="111"/>
        <item x="147"/>
        <item x="22"/>
        <item x="171"/>
        <item x="90"/>
        <item x="188"/>
        <item x="56"/>
        <item x="216"/>
        <item x="70"/>
        <item x="79"/>
        <item x="176"/>
        <item x="62"/>
        <item x="9"/>
        <item x="218"/>
        <item x="48"/>
        <item x="55"/>
        <item x="198"/>
        <item x="99"/>
        <item x="168"/>
        <item x="224"/>
        <item x="119"/>
        <item x="124"/>
        <item x="118"/>
        <item x="170"/>
        <item x="65"/>
        <item x="89"/>
        <item x="94"/>
        <item x="140"/>
        <item x="155"/>
        <item x="30"/>
        <item x="134"/>
        <item x="125"/>
        <item x="100"/>
        <item x="114"/>
        <item x="132"/>
        <item x="145"/>
        <item x="13"/>
        <item x="49"/>
        <item x="212"/>
        <item x="222"/>
        <item x="214"/>
        <item x="86"/>
        <item x="28"/>
        <item x="26"/>
        <item x="148"/>
        <item x="57"/>
        <item x="141"/>
        <item x="2"/>
        <item x="142"/>
        <item x="226"/>
        <item x="113"/>
        <item x="126"/>
        <item x="43"/>
        <item x="84"/>
        <item x="74"/>
        <item x="232"/>
        <item x="108"/>
        <item x="73"/>
        <item x="186"/>
        <item x="129"/>
        <item x="190"/>
        <item x="217"/>
        <item x="42"/>
        <item x="54"/>
        <item x="104"/>
        <item x="32"/>
        <item x="66"/>
        <item x="20"/>
        <item x="31"/>
        <item x="72"/>
        <item x="33"/>
        <item x="11"/>
        <item x="123"/>
        <item x="209"/>
        <item x="102"/>
        <item x="133"/>
        <item x="169"/>
        <item x="151"/>
        <item x="194"/>
        <item x="101"/>
        <item x="122"/>
        <item x="175"/>
        <item x="75"/>
        <item x="137"/>
        <item x="106"/>
        <item x="19"/>
        <item x="184"/>
        <item x="23"/>
        <item x="105"/>
        <item x="210"/>
        <item x="221"/>
        <item x="88"/>
        <item x="91"/>
        <item x="231"/>
        <item x="223"/>
        <item x="78"/>
        <item x="220"/>
        <item x="208"/>
        <item x="191"/>
        <item x="193"/>
        <item x="69"/>
        <item x="83"/>
        <item x="85"/>
        <item x="8"/>
        <item x="52"/>
        <item x="150"/>
        <item x="230"/>
        <item x="215"/>
        <item x="160"/>
        <item x="59"/>
        <item x="199"/>
        <item x="51"/>
        <item x="201"/>
        <item x="21"/>
        <item x="53"/>
        <item x="3"/>
        <item x="14"/>
        <item x="24"/>
        <item x="130"/>
        <item x="44"/>
        <item x="1"/>
        <item x="202"/>
        <item x="38"/>
        <item x="127"/>
        <item x="139"/>
        <item x="177"/>
        <item x="206"/>
        <item x="112"/>
        <item x="229"/>
        <item x="173"/>
        <item x="138"/>
        <item x="107"/>
        <item x="131"/>
        <item x="204"/>
        <item x="29"/>
        <item x="64"/>
        <item x="178"/>
        <item x="213"/>
        <item x="115"/>
        <item x="35"/>
        <item x="219"/>
        <item x="144"/>
        <item x="63"/>
        <item x="164"/>
        <item x="159"/>
        <item x="180"/>
        <item x="37"/>
        <item x="121"/>
        <item x="98"/>
        <item x="12"/>
        <item x="34"/>
        <item x="117"/>
        <item x="80"/>
        <item x="146"/>
        <item x="5"/>
        <item x="82"/>
        <item x="166"/>
        <item x="36"/>
        <item x="136"/>
        <item x="16"/>
        <item x="233"/>
        <item t="default"/>
      </items>
    </pivotField>
    <pivotField showAll="0"/>
    <pivotField showAll="0"/>
    <pivotField dataField="1" showAll="0">
      <items count="323">
        <item x="129"/>
        <item x="263"/>
        <item x="131"/>
        <item x="144"/>
        <item x="282"/>
        <item x="290"/>
        <item x="289"/>
        <item x="293"/>
        <item x="292"/>
        <item x="291"/>
        <item x="294"/>
        <item x="319"/>
        <item x="320"/>
        <item x="164"/>
        <item x="165"/>
        <item x="17"/>
        <item x="19"/>
        <item x="172"/>
        <item x="143"/>
        <item x="277"/>
        <item x="173"/>
        <item x="175"/>
        <item x="20"/>
        <item x="174"/>
        <item x="176"/>
        <item x="177"/>
        <item x="22"/>
        <item x="23"/>
        <item x="179"/>
        <item x="181"/>
        <item x="178"/>
        <item x="21"/>
        <item x="180"/>
        <item x="24"/>
        <item x="182"/>
        <item x="185"/>
        <item x="25"/>
        <item x="186"/>
        <item x="33"/>
        <item x="269"/>
        <item x="191"/>
        <item x="37"/>
        <item x="35"/>
        <item x="194"/>
        <item x="193"/>
        <item x="36"/>
        <item x="192"/>
        <item x="34"/>
        <item x="195"/>
        <item x="198"/>
        <item x="199"/>
        <item x="197"/>
        <item x="39"/>
        <item x="41"/>
        <item x="40"/>
        <item x="43"/>
        <item x="201"/>
        <item x="200"/>
        <item x="42"/>
        <item x="47"/>
        <item x="46"/>
        <item x="45"/>
        <item x="44"/>
        <item x="202"/>
        <item x="48"/>
        <item x="135"/>
        <item x="203"/>
        <item x="49"/>
        <item x="207"/>
        <item x="206"/>
        <item x="205"/>
        <item x="204"/>
        <item x="50"/>
        <item x="218"/>
        <item x="75"/>
        <item x="216"/>
        <item x="74"/>
        <item x="217"/>
        <item x="215"/>
        <item x="214"/>
        <item x="77"/>
        <item x="134"/>
        <item x="268"/>
        <item x="76"/>
        <item x="219"/>
        <item x="220"/>
        <item x="233"/>
        <item x="78"/>
        <item x="93"/>
        <item x="80"/>
        <item x="235"/>
        <item x="96"/>
        <item x="79"/>
        <item x="262"/>
        <item x="222"/>
        <item x="99"/>
        <item x="230"/>
        <item x="94"/>
        <item x="267"/>
        <item x="130"/>
        <item x="98"/>
        <item x="229"/>
        <item x="100"/>
        <item x="232"/>
        <item x="97"/>
        <item x="92"/>
        <item x="95"/>
        <item x="221"/>
        <item x="234"/>
        <item x="231"/>
        <item x="81"/>
        <item x="127"/>
        <item x="224"/>
        <item x="89"/>
        <item x="225"/>
        <item x="90"/>
        <item x="128"/>
        <item x="88"/>
        <item x="251"/>
        <item x="126"/>
        <item x="132"/>
        <item x="265"/>
        <item x="133"/>
        <item x="266"/>
        <item x="115"/>
        <item x="244"/>
        <item x="264"/>
        <item x="261"/>
        <item x="243"/>
        <item x="242"/>
        <item x="109"/>
        <item x="108"/>
        <item x="241"/>
        <item x="259"/>
        <item x="257"/>
        <item x="255"/>
        <item x="238"/>
        <item x="258"/>
        <item x="254"/>
        <item x="103"/>
        <item x="104"/>
        <item x="105"/>
        <item x="240"/>
        <item x="107"/>
        <item x="239"/>
        <item x="256"/>
        <item x="260"/>
        <item x="106"/>
        <item x="317"/>
        <item x="102"/>
        <item x="252"/>
        <item x="101"/>
        <item x="158"/>
        <item x="253"/>
        <item x="122"/>
        <item x="157"/>
        <item x="120"/>
        <item x="248"/>
        <item x="156"/>
        <item x="124"/>
        <item x="119"/>
        <item x="154"/>
        <item x="125"/>
        <item x="155"/>
        <item x="121"/>
        <item x="250"/>
        <item x="247"/>
        <item x="12"/>
        <item x="123"/>
        <item x="249"/>
        <item x="8"/>
        <item x="117"/>
        <item x="246"/>
        <item x="10"/>
        <item x="245"/>
        <item x="149"/>
        <item x="7"/>
        <item x="118"/>
        <item x="153"/>
        <item x="150"/>
        <item x="9"/>
        <item x="11"/>
        <item x="6"/>
        <item x="116"/>
        <item x="114"/>
        <item x="228"/>
        <item x="148"/>
        <item x="5"/>
        <item x="111"/>
        <item x="113"/>
        <item x="110"/>
        <item x="226"/>
        <item x="227"/>
        <item x="4"/>
        <item x="112"/>
        <item x="91"/>
        <item x="2"/>
        <item x="3"/>
        <item x="236"/>
        <item x="316"/>
        <item x="1"/>
        <item x="315"/>
        <item x="237"/>
        <item x="313"/>
        <item x="314"/>
        <item x="159"/>
        <item x="318"/>
        <item x="312"/>
        <item x="151"/>
        <item x="161"/>
        <item x="310"/>
        <item x="311"/>
        <item x="15"/>
        <item x="14"/>
        <item x="13"/>
        <item x="160"/>
        <item x="152"/>
        <item x="0"/>
        <item x="308"/>
        <item x="309"/>
        <item x="82"/>
        <item x="70"/>
        <item x="307"/>
        <item x="211"/>
        <item x="69"/>
        <item x="71"/>
        <item x="212"/>
        <item x="302"/>
        <item x="223"/>
        <item x="67"/>
        <item x="87"/>
        <item x="304"/>
        <item x="62"/>
        <item x="63"/>
        <item x="84"/>
        <item x="64"/>
        <item x="303"/>
        <item x="306"/>
        <item x="85"/>
        <item x="60"/>
        <item x="61"/>
        <item x="68"/>
        <item x="65"/>
        <item x="83"/>
        <item x="86"/>
        <item x="66"/>
        <item x="305"/>
        <item x="137"/>
        <item x="58"/>
        <item x="136"/>
        <item x="209"/>
        <item x="52"/>
        <item x="59"/>
        <item x="300"/>
        <item x="56"/>
        <item x="272"/>
        <item x="57"/>
        <item x="208"/>
        <item x="53"/>
        <item x="55"/>
        <item x="301"/>
        <item x="54"/>
        <item x="270"/>
        <item x="51"/>
        <item x="271"/>
        <item x="210"/>
        <item x="295"/>
        <item x="72"/>
        <item x="139"/>
        <item x="298"/>
        <item x="299"/>
        <item x="190"/>
        <item x="140"/>
        <item x="296"/>
        <item x="297"/>
        <item x="138"/>
        <item x="73"/>
        <item x="213"/>
        <item x="32"/>
        <item x="286"/>
        <item x="283"/>
        <item x="30"/>
        <item x="31"/>
        <item x="189"/>
        <item x="284"/>
        <item x="29"/>
        <item x="187"/>
        <item x="285"/>
        <item x="28"/>
        <item x="27"/>
        <item x="188"/>
        <item x="184"/>
        <item x="26"/>
        <item x="146"/>
        <item x="166"/>
        <item x="280"/>
        <item x="168"/>
        <item x="281"/>
        <item x="171"/>
        <item x="167"/>
        <item x="170"/>
        <item x="169"/>
        <item x="279"/>
        <item x="145"/>
        <item x="183"/>
        <item x="16"/>
        <item x="162"/>
        <item x="18"/>
        <item x="163"/>
        <item x="287"/>
        <item x="147"/>
        <item x="278"/>
        <item x="288"/>
        <item x="273"/>
        <item x="274"/>
        <item x="142"/>
        <item x="196"/>
        <item x="38"/>
        <item x="141"/>
        <item x="276"/>
        <item x="275"/>
        <item x="321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>
      <items count="6">
        <item x="1"/>
        <item x="2"/>
        <item x="0"/>
        <item x="3"/>
        <item h="1" x="4"/>
        <item t="default"/>
      </items>
    </pivotField>
    <pivotField showAll="0">
      <items count="8">
        <item x="2"/>
        <item x="0"/>
        <item x="3"/>
        <item x="4"/>
        <item x="5"/>
        <item x="1"/>
        <item x="6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BirthDate" fld="5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berto8@adventure-works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topLeftCell="F1" workbookViewId="0">
      <selection activeCell="O2" sqref="O2"/>
    </sheetView>
  </sheetViews>
  <sheetFormatPr baseColWidth="10" defaultColWidth="14.5" defaultRowHeight="15" customHeight="1" x14ac:dyDescent="0.2"/>
  <cols>
    <col min="1" max="1" width="15.1640625" customWidth="1"/>
    <col min="2" max="2" width="8.5" customWidth="1"/>
    <col min="3" max="3" width="12.5" customWidth="1"/>
    <col min="4" max="4" width="12.6640625" customWidth="1"/>
    <col min="5" max="5" width="18.5" customWidth="1"/>
    <col min="6" max="6" width="14.33203125" customWidth="1"/>
    <col min="7" max="7" width="11.6640625" customWidth="1"/>
    <col min="8" max="9" width="15" customWidth="1"/>
    <col min="10" max="11" width="9.83203125" customWidth="1"/>
    <col min="12" max="12" width="34.5" customWidth="1"/>
    <col min="13" max="13" width="24" customWidth="1"/>
    <col min="14" max="15" width="16.33203125" customWidth="1"/>
    <col min="16" max="16" width="15.5" customWidth="1"/>
    <col min="17" max="17" width="17.6640625" customWidth="1"/>
    <col min="18" max="18" width="14.1640625" customWidth="1"/>
    <col min="19" max="19" width="14.5" customWidth="1"/>
  </cols>
  <sheetData>
    <row r="1" spans="1:19" ht="14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4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4.25" customHeight="1" x14ac:dyDescent="0.2">
      <c r="A2" s="2">
        <v>13001</v>
      </c>
      <c r="B2" s="2" t="s">
        <v>19</v>
      </c>
      <c r="C2" s="2" t="s">
        <v>20</v>
      </c>
      <c r="D2" s="2" t="s">
        <v>21</v>
      </c>
      <c r="E2" s="3" t="str">
        <f t="shared" ref="E2:E256" si="0">B2 &amp;" "&amp;C2&amp;" "&amp;D2</f>
        <v>MR. CLARENCE ZHANG</v>
      </c>
      <c r="F2" s="5">
        <v>25452</v>
      </c>
      <c r="G2" s="3">
        <f t="shared" ref="G2:G256" si="1">YEAR(F2)</f>
        <v>1969</v>
      </c>
      <c r="H2" s="2" t="s">
        <v>22</v>
      </c>
      <c r="I2" s="3" t="str">
        <f t="shared" ref="I2:I256" si="2">IF(H2="M","Married","Single")</f>
        <v>Single</v>
      </c>
      <c r="J2" s="2" t="s">
        <v>23</v>
      </c>
      <c r="K2" s="3" t="str">
        <f t="shared" ref="K2:K256" si="3">IF(J2="M","Male","Female")</f>
        <v>Male</v>
      </c>
      <c r="L2" s="2" t="s">
        <v>24</v>
      </c>
      <c r="M2" s="3" t="str">
        <f t="shared" ref="M2:M256" si="4">LEFT(L2,SEARCH("@",L2)-1)</f>
        <v>clarence37</v>
      </c>
      <c r="N2" s="4">
        <v>130000</v>
      </c>
      <c r="O2" s="6" t="str">
        <f t="shared" ref="O2:O256" si="5">IF(N2&gt;=150000,"Wealthy",IF(N2&gt;=100000,"Rich",IF(N2&gt;=50000,"Average","Poor")))</f>
        <v>Rich</v>
      </c>
      <c r="P2" s="2">
        <v>1</v>
      </c>
      <c r="Q2" s="2" t="s">
        <v>25</v>
      </c>
      <c r="R2" s="2" t="s">
        <v>26</v>
      </c>
      <c r="S2" s="2" t="s">
        <v>27</v>
      </c>
    </row>
    <row r="3" spans="1:19" ht="14.25" customHeight="1" x14ac:dyDescent="0.2">
      <c r="A3" s="2">
        <v>13002</v>
      </c>
      <c r="B3" s="2" t="s">
        <v>19</v>
      </c>
      <c r="C3" s="2" t="s">
        <v>28</v>
      </c>
      <c r="D3" s="2" t="s">
        <v>29</v>
      </c>
      <c r="E3" s="3" t="str">
        <f t="shared" si="0"/>
        <v>MR. ROGER CAI</v>
      </c>
      <c r="F3" s="7">
        <v>24706</v>
      </c>
      <c r="G3" s="3">
        <f t="shared" si="1"/>
        <v>1967</v>
      </c>
      <c r="H3" s="2" t="s">
        <v>23</v>
      </c>
      <c r="I3" s="3" t="str">
        <f t="shared" si="2"/>
        <v>Married</v>
      </c>
      <c r="J3" s="2" t="s">
        <v>23</v>
      </c>
      <c r="K3" s="3" t="str">
        <f t="shared" si="3"/>
        <v>Male</v>
      </c>
      <c r="L3" s="2" t="s">
        <v>30</v>
      </c>
      <c r="M3" s="3" t="str">
        <f t="shared" si="4"/>
        <v>roger25</v>
      </c>
      <c r="N3" s="4">
        <v>80000</v>
      </c>
      <c r="O3" s="6" t="str">
        <f t="shared" si="5"/>
        <v>Average</v>
      </c>
      <c r="P3" s="2">
        <v>5</v>
      </c>
      <c r="Q3" s="2" t="s">
        <v>25</v>
      </c>
      <c r="R3" s="2" t="s">
        <v>26</v>
      </c>
      <c r="S3" s="2" t="s">
        <v>31</v>
      </c>
    </row>
    <row r="4" spans="1:19" ht="14.25" customHeight="1" x14ac:dyDescent="0.2">
      <c r="A4" s="2">
        <v>13003</v>
      </c>
      <c r="B4" s="2" t="s">
        <v>32</v>
      </c>
      <c r="C4" s="2" t="s">
        <v>33</v>
      </c>
      <c r="D4" s="2" t="s">
        <v>34</v>
      </c>
      <c r="E4" s="3" t="str">
        <f t="shared" si="0"/>
        <v>MRS. JILL HERNANDEZ</v>
      </c>
      <c r="F4" s="7">
        <v>24492</v>
      </c>
      <c r="G4" s="3">
        <f t="shared" si="1"/>
        <v>1967</v>
      </c>
      <c r="H4" s="2" t="s">
        <v>23</v>
      </c>
      <c r="I4" s="3" t="str">
        <f t="shared" si="2"/>
        <v>Married</v>
      </c>
      <c r="J4" s="2" t="s">
        <v>35</v>
      </c>
      <c r="K4" s="3" t="str">
        <f t="shared" si="3"/>
        <v>Female</v>
      </c>
      <c r="L4" s="2" t="s">
        <v>36</v>
      </c>
      <c r="M4" s="3" t="str">
        <f t="shared" si="4"/>
        <v>jill11</v>
      </c>
      <c r="N4" s="4">
        <v>80000</v>
      </c>
      <c r="O4" s="6" t="str">
        <f t="shared" si="5"/>
        <v>Average</v>
      </c>
      <c r="P4" s="2">
        <v>5</v>
      </c>
      <c r="Q4" s="2" t="s">
        <v>25</v>
      </c>
      <c r="R4" s="2" t="s">
        <v>26</v>
      </c>
      <c r="S4" s="2" t="s">
        <v>27</v>
      </c>
    </row>
    <row r="5" spans="1:19" ht="14.25" customHeight="1" x14ac:dyDescent="0.2">
      <c r="A5" s="2">
        <v>13004</v>
      </c>
      <c r="B5" s="2" t="s">
        <v>19</v>
      </c>
      <c r="C5" s="2" t="s">
        <v>37</v>
      </c>
      <c r="D5" s="2" t="s">
        <v>38</v>
      </c>
      <c r="E5" s="3" t="str">
        <f t="shared" si="0"/>
        <v>MR. RANDY CHEN</v>
      </c>
      <c r="F5" s="7">
        <v>24596</v>
      </c>
      <c r="G5" s="3">
        <f t="shared" si="1"/>
        <v>1967</v>
      </c>
      <c r="H5" s="2" t="s">
        <v>23</v>
      </c>
      <c r="I5" s="3" t="str">
        <f t="shared" si="2"/>
        <v>Married</v>
      </c>
      <c r="J5" s="2" t="s">
        <v>23</v>
      </c>
      <c r="K5" s="3" t="str">
        <f t="shared" si="3"/>
        <v>Male</v>
      </c>
      <c r="L5" s="2" t="s">
        <v>39</v>
      </c>
      <c r="M5" s="3" t="str">
        <f t="shared" si="4"/>
        <v>randy4</v>
      </c>
      <c r="N5" s="4">
        <v>80000</v>
      </c>
      <c r="O5" s="6" t="str">
        <f t="shared" si="5"/>
        <v>Average</v>
      </c>
      <c r="P5" s="2">
        <v>5</v>
      </c>
      <c r="Q5" s="2" t="s">
        <v>25</v>
      </c>
      <c r="R5" s="2" t="s">
        <v>26</v>
      </c>
      <c r="S5" s="2" t="s">
        <v>31</v>
      </c>
    </row>
    <row r="6" spans="1:19" ht="14.25" customHeight="1" x14ac:dyDescent="0.2">
      <c r="A6" s="2">
        <v>13005</v>
      </c>
      <c r="B6" s="2" t="s">
        <v>32</v>
      </c>
      <c r="C6" s="2" t="s">
        <v>40</v>
      </c>
      <c r="D6" s="2" t="s">
        <v>41</v>
      </c>
      <c r="E6" s="3" t="str">
        <f t="shared" si="0"/>
        <v>MRS. DESIREE ALVAREZ</v>
      </c>
      <c r="F6" s="7">
        <v>24334</v>
      </c>
      <c r="G6" s="3">
        <f t="shared" si="1"/>
        <v>1966</v>
      </c>
      <c r="H6" s="2" t="s">
        <v>23</v>
      </c>
      <c r="I6" s="3" t="str">
        <f t="shared" si="2"/>
        <v>Married</v>
      </c>
      <c r="J6" s="2" t="s">
        <v>35</v>
      </c>
      <c r="K6" s="3" t="str">
        <f t="shared" si="3"/>
        <v>Female</v>
      </c>
      <c r="L6" s="2" t="s">
        <v>42</v>
      </c>
      <c r="M6" s="3" t="str">
        <f t="shared" si="4"/>
        <v>desiree0</v>
      </c>
      <c r="N6" s="4">
        <v>80000</v>
      </c>
      <c r="O6" s="6" t="str">
        <f t="shared" si="5"/>
        <v>Average</v>
      </c>
      <c r="P6" s="2">
        <v>5</v>
      </c>
      <c r="Q6" s="2" t="s">
        <v>25</v>
      </c>
      <c r="R6" s="2" t="s">
        <v>26</v>
      </c>
      <c r="S6" s="2" t="s">
        <v>31</v>
      </c>
    </row>
    <row r="7" spans="1:19" ht="14.25" customHeight="1" x14ac:dyDescent="0.2">
      <c r="A7" s="2">
        <v>13006</v>
      </c>
      <c r="B7" s="2" t="s">
        <v>43</v>
      </c>
      <c r="C7" s="2" t="s">
        <v>44</v>
      </c>
      <c r="D7" s="2" t="s">
        <v>45</v>
      </c>
      <c r="E7" s="3" t="str">
        <f t="shared" si="0"/>
        <v>MS. WHITNEY RANA</v>
      </c>
      <c r="F7" s="7">
        <v>24218</v>
      </c>
      <c r="G7" s="3">
        <f t="shared" si="1"/>
        <v>1966</v>
      </c>
      <c r="H7" s="2" t="s">
        <v>22</v>
      </c>
      <c r="I7" s="3" t="str">
        <f t="shared" si="2"/>
        <v>Single</v>
      </c>
      <c r="J7" s="2" t="s">
        <v>35</v>
      </c>
      <c r="K7" s="3" t="str">
        <f t="shared" si="3"/>
        <v>Female</v>
      </c>
      <c r="L7" s="2" t="s">
        <v>46</v>
      </c>
      <c r="M7" s="3" t="str">
        <f t="shared" si="4"/>
        <v>whitney10</v>
      </c>
      <c r="N7" s="4">
        <v>90000</v>
      </c>
      <c r="O7" s="6" t="str">
        <f t="shared" si="5"/>
        <v>Average</v>
      </c>
      <c r="P7" s="2">
        <v>0</v>
      </c>
      <c r="Q7" s="2" t="s">
        <v>47</v>
      </c>
      <c r="R7" s="2" t="s">
        <v>48</v>
      </c>
      <c r="S7" s="2" t="s">
        <v>31</v>
      </c>
    </row>
    <row r="8" spans="1:19" ht="14.25" customHeight="1" x14ac:dyDescent="0.2">
      <c r="A8" s="2">
        <v>13007</v>
      </c>
      <c r="B8" s="2" t="s">
        <v>32</v>
      </c>
      <c r="C8" s="2" t="s">
        <v>49</v>
      </c>
      <c r="D8" s="2" t="s">
        <v>50</v>
      </c>
      <c r="E8" s="3" t="str">
        <f t="shared" si="0"/>
        <v>MRS. BROOKE WARD</v>
      </c>
      <c r="F8" s="7">
        <v>24020</v>
      </c>
      <c r="G8" s="3">
        <f t="shared" si="1"/>
        <v>1965</v>
      </c>
      <c r="H8" s="2" t="s">
        <v>22</v>
      </c>
      <c r="I8" s="3" t="str">
        <f t="shared" si="2"/>
        <v>Single</v>
      </c>
      <c r="J8" s="2" t="s">
        <v>35</v>
      </c>
      <c r="K8" s="3" t="str">
        <f t="shared" si="3"/>
        <v>Female</v>
      </c>
      <c r="L8" s="2" t="s">
        <v>51</v>
      </c>
      <c r="M8" s="3" t="str">
        <f t="shared" si="4"/>
        <v>brooke11</v>
      </c>
      <c r="N8" s="4">
        <v>60000</v>
      </c>
      <c r="O8" s="6" t="str">
        <f t="shared" si="5"/>
        <v>Average</v>
      </c>
      <c r="P8" s="2">
        <v>2</v>
      </c>
      <c r="Q8" s="2" t="s">
        <v>47</v>
      </c>
      <c r="R8" s="2" t="s">
        <v>48</v>
      </c>
      <c r="S8" s="2" t="s">
        <v>31</v>
      </c>
    </row>
    <row r="9" spans="1:19" ht="14.25" customHeight="1" x14ac:dyDescent="0.2">
      <c r="A9" s="2">
        <v>13008</v>
      </c>
      <c r="B9" s="2" t="s">
        <v>19</v>
      </c>
      <c r="C9" s="2" t="s">
        <v>52</v>
      </c>
      <c r="D9" s="2" t="s">
        <v>53</v>
      </c>
      <c r="E9" s="3" t="str">
        <f t="shared" si="0"/>
        <v>MR. ALBERTO MUÑOZ</v>
      </c>
      <c r="F9" s="7">
        <v>23932</v>
      </c>
      <c r="G9" s="3">
        <f t="shared" si="1"/>
        <v>1965</v>
      </c>
      <c r="H9" s="2" t="s">
        <v>23</v>
      </c>
      <c r="I9" s="3" t="str">
        <f t="shared" si="2"/>
        <v>Married</v>
      </c>
      <c r="J9" s="2" t="s">
        <v>23</v>
      </c>
      <c r="K9" s="3" t="str">
        <f t="shared" si="3"/>
        <v>Male</v>
      </c>
      <c r="L9" s="8" t="s">
        <v>54</v>
      </c>
      <c r="M9" s="3" t="str">
        <f t="shared" si="4"/>
        <v>alberto8</v>
      </c>
      <c r="N9" s="4">
        <v>60000</v>
      </c>
      <c r="O9" s="6" t="str">
        <f t="shared" si="5"/>
        <v>Average</v>
      </c>
      <c r="P9" s="2">
        <v>3</v>
      </c>
      <c r="Q9" s="2" t="s">
        <v>47</v>
      </c>
      <c r="R9" s="2" t="s">
        <v>48</v>
      </c>
      <c r="S9" s="2" t="s">
        <v>27</v>
      </c>
    </row>
    <row r="10" spans="1:19" ht="14.25" customHeight="1" x14ac:dyDescent="0.2">
      <c r="A10" s="2">
        <v>13009</v>
      </c>
      <c r="B10" s="2" t="s">
        <v>32</v>
      </c>
      <c r="C10" s="2" t="s">
        <v>55</v>
      </c>
      <c r="D10" s="2" t="s">
        <v>56</v>
      </c>
      <c r="E10" s="3" t="str">
        <f t="shared" si="0"/>
        <v>MRS. MINDY SHE</v>
      </c>
      <c r="F10" s="7">
        <v>23812</v>
      </c>
      <c r="G10" s="3">
        <f t="shared" si="1"/>
        <v>1965</v>
      </c>
      <c r="H10" s="2" t="s">
        <v>23</v>
      </c>
      <c r="I10" s="3" t="str">
        <f t="shared" si="2"/>
        <v>Married</v>
      </c>
      <c r="J10" s="2" t="s">
        <v>35</v>
      </c>
      <c r="K10" s="3" t="str">
        <f t="shared" si="3"/>
        <v>Female</v>
      </c>
      <c r="L10" s="2" t="s">
        <v>57</v>
      </c>
      <c r="M10" s="3" t="str">
        <f t="shared" si="4"/>
        <v>mindy4</v>
      </c>
      <c r="N10" s="4">
        <v>60000</v>
      </c>
      <c r="O10" s="6" t="str">
        <f t="shared" si="5"/>
        <v>Average</v>
      </c>
      <c r="P10" s="2">
        <v>3</v>
      </c>
      <c r="Q10" s="2" t="s">
        <v>47</v>
      </c>
      <c r="R10" s="2" t="s">
        <v>48</v>
      </c>
      <c r="S10" s="2" t="s">
        <v>27</v>
      </c>
    </row>
    <row r="11" spans="1:19" ht="14.25" customHeight="1" x14ac:dyDescent="0.2">
      <c r="A11" s="2">
        <v>13010</v>
      </c>
      <c r="B11" s="2" t="s">
        <v>32</v>
      </c>
      <c r="C11" s="2" t="s">
        <v>58</v>
      </c>
      <c r="D11" s="2" t="s">
        <v>59</v>
      </c>
      <c r="E11" s="3" t="str">
        <f t="shared" si="0"/>
        <v>MRS. ERICA YE</v>
      </c>
      <c r="F11" s="7">
        <v>23970</v>
      </c>
      <c r="G11" s="3">
        <f t="shared" si="1"/>
        <v>1965</v>
      </c>
      <c r="H11" s="2" t="s">
        <v>23</v>
      </c>
      <c r="I11" s="3" t="str">
        <f t="shared" si="2"/>
        <v>Married</v>
      </c>
      <c r="J11" s="2" t="s">
        <v>35</v>
      </c>
      <c r="K11" s="3" t="str">
        <f t="shared" si="3"/>
        <v>Female</v>
      </c>
      <c r="L11" s="2" t="s">
        <v>60</v>
      </c>
      <c r="M11" s="3" t="str">
        <f t="shared" si="4"/>
        <v>erica9</v>
      </c>
      <c r="N11" s="4">
        <v>60000</v>
      </c>
      <c r="O11" s="6" t="str">
        <f t="shared" si="5"/>
        <v>Average</v>
      </c>
      <c r="P11" s="2">
        <v>3</v>
      </c>
      <c r="Q11" s="2" t="s">
        <v>47</v>
      </c>
      <c r="R11" s="2" t="s">
        <v>48</v>
      </c>
      <c r="S11" s="2" t="s">
        <v>27</v>
      </c>
    </row>
    <row r="12" spans="1:19" ht="14.25" customHeight="1" x14ac:dyDescent="0.2">
      <c r="A12" s="2">
        <v>13011</v>
      </c>
      <c r="B12" s="2" t="s">
        <v>43</v>
      </c>
      <c r="C12" s="2" t="s">
        <v>61</v>
      </c>
      <c r="D12" s="2" t="s">
        <v>62</v>
      </c>
      <c r="E12" s="3" t="str">
        <f t="shared" si="0"/>
        <v>MS. ANNE ORTEGA</v>
      </c>
      <c r="F12" s="7">
        <v>23866</v>
      </c>
      <c r="G12" s="3">
        <f t="shared" si="1"/>
        <v>1965</v>
      </c>
      <c r="H12" s="2" t="s">
        <v>22</v>
      </c>
      <c r="I12" s="3" t="str">
        <f t="shared" si="2"/>
        <v>Single</v>
      </c>
      <c r="J12" s="2" t="s">
        <v>35</v>
      </c>
      <c r="K12" s="3" t="str">
        <f t="shared" si="3"/>
        <v>Female</v>
      </c>
      <c r="L12" s="2" t="s">
        <v>63</v>
      </c>
      <c r="M12" s="3" t="str">
        <f t="shared" si="4"/>
        <v>anne22</v>
      </c>
      <c r="N12" s="4">
        <v>70000</v>
      </c>
      <c r="O12" s="6" t="str">
        <f t="shared" si="5"/>
        <v>Average</v>
      </c>
      <c r="P12" s="2">
        <v>0</v>
      </c>
      <c r="Q12" s="2" t="s">
        <v>47</v>
      </c>
      <c r="R12" s="2" t="s">
        <v>48</v>
      </c>
      <c r="S12" s="2" t="s">
        <v>31</v>
      </c>
    </row>
    <row r="13" spans="1:19" ht="14.25" customHeight="1" x14ac:dyDescent="0.2">
      <c r="A13" s="2">
        <v>13012</v>
      </c>
      <c r="B13" s="2" t="s">
        <v>43</v>
      </c>
      <c r="C13" s="2" t="s">
        <v>64</v>
      </c>
      <c r="D13" s="2" t="s">
        <v>65</v>
      </c>
      <c r="E13" s="3" t="str">
        <f t="shared" si="0"/>
        <v>MS. KRYSTAL HU</v>
      </c>
      <c r="F13" s="7">
        <v>24009</v>
      </c>
      <c r="G13" s="3">
        <f t="shared" si="1"/>
        <v>1965</v>
      </c>
      <c r="H13" s="2" t="s">
        <v>22</v>
      </c>
      <c r="I13" s="3" t="str">
        <f t="shared" si="2"/>
        <v>Single</v>
      </c>
      <c r="J13" s="2" t="s">
        <v>35</v>
      </c>
      <c r="K13" s="3" t="str">
        <f t="shared" si="3"/>
        <v>Female</v>
      </c>
      <c r="L13" s="2" t="s">
        <v>66</v>
      </c>
      <c r="M13" s="3" t="str">
        <f t="shared" si="4"/>
        <v>krystal20</v>
      </c>
      <c r="N13" s="4">
        <v>70000</v>
      </c>
      <c r="O13" s="6" t="str">
        <f t="shared" si="5"/>
        <v>Average</v>
      </c>
      <c r="P13" s="2">
        <v>0</v>
      </c>
      <c r="Q13" s="2" t="s">
        <v>47</v>
      </c>
      <c r="R13" s="2" t="s">
        <v>48</v>
      </c>
      <c r="S13" s="2" t="s">
        <v>31</v>
      </c>
    </row>
    <row r="14" spans="1:19" ht="14.25" customHeight="1" x14ac:dyDescent="0.2">
      <c r="A14" s="2">
        <v>13013</v>
      </c>
      <c r="B14" s="2" t="s">
        <v>19</v>
      </c>
      <c r="C14" s="2" t="s">
        <v>67</v>
      </c>
      <c r="D14" s="2" t="s">
        <v>59</v>
      </c>
      <c r="E14" s="3" t="str">
        <f t="shared" si="0"/>
        <v>MR. VINCENT YE</v>
      </c>
      <c r="F14" s="7">
        <v>23689</v>
      </c>
      <c r="G14" s="3">
        <f t="shared" si="1"/>
        <v>1964</v>
      </c>
      <c r="H14" s="2" t="s">
        <v>23</v>
      </c>
      <c r="I14" s="3" t="str">
        <f t="shared" si="2"/>
        <v>Married</v>
      </c>
      <c r="J14" s="2" t="s">
        <v>23</v>
      </c>
      <c r="K14" s="3" t="str">
        <f t="shared" si="3"/>
        <v>Male</v>
      </c>
      <c r="L14" s="2" t="s">
        <v>68</v>
      </c>
      <c r="M14" s="3" t="str">
        <f t="shared" si="4"/>
        <v>vincent9</v>
      </c>
      <c r="N14" s="4">
        <v>60000</v>
      </c>
      <c r="O14" s="6" t="str">
        <f t="shared" si="5"/>
        <v>Average</v>
      </c>
      <c r="P14" s="2">
        <v>4</v>
      </c>
      <c r="Q14" s="2" t="s">
        <v>47</v>
      </c>
      <c r="R14" s="2" t="s">
        <v>48</v>
      </c>
      <c r="S14" s="2" t="s">
        <v>31</v>
      </c>
    </row>
    <row r="15" spans="1:19" ht="14.25" customHeight="1" x14ac:dyDescent="0.2">
      <c r="A15" s="2">
        <v>13014</v>
      </c>
      <c r="B15" s="2" t="s">
        <v>19</v>
      </c>
      <c r="C15" s="2" t="s">
        <v>69</v>
      </c>
      <c r="D15" s="2" t="s">
        <v>70</v>
      </c>
      <c r="E15" s="3" t="str">
        <f t="shared" si="0"/>
        <v>MR. JAMES CLARK</v>
      </c>
      <c r="F15" s="7">
        <v>25032</v>
      </c>
      <c r="G15" s="3">
        <f t="shared" si="1"/>
        <v>1968</v>
      </c>
      <c r="H15" s="2" t="s">
        <v>23</v>
      </c>
      <c r="I15" s="3" t="str">
        <f t="shared" si="2"/>
        <v>Married</v>
      </c>
      <c r="J15" s="2" t="s">
        <v>23</v>
      </c>
      <c r="K15" s="3" t="str">
        <f t="shared" si="3"/>
        <v>Male</v>
      </c>
      <c r="L15" s="2" t="s">
        <v>71</v>
      </c>
      <c r="M15" s="3" t="str">
        <f t="shared" si="4"/>
        <v>james92</v>
      </c>
      <c r="N15" s="4">
        <v>100000</v>
      </c>
      <c r="O15" s="6" t="str">
        <f t="shared" si="5"/>
        <v>Rich</v>
      </c>
      <c r="P15" s="2">
        <v>2</v>
      </c>
      <c r="Q15" s="2" t="s">
        <v>47</v>
      </c>
      <c r="R15" s="2" t="s">
        <v>26</v>
      </c>
      <c r="S15" s="2" t="s">
        <v>27</v>
      </c>
    </row>
    <row r="16" spans="1:19" ht="14.25" customHeight="1" x14ac:dyDescent="0.2">
      <c r="A16" s="2">
        <v>13015</v>
      </c>
      <c r="B16" s="2" t="s">
        <v>32</v>
      </c>
      <c r="C16" s="2" t="s">
        <v>72</v>
      </c>
      <c r="D16" s="2" t="s">
        <v>73</v>
      </c>
      <c r="E16" s="3" t="str">
        <f t="shared" si="0"/>
        <v>MRS. REBECCA PARKER</v>
      </c>
      <c r="F16" s="7">
        <v>25030</v>
      </c>
      <c r="G16" s="3">
        <f t="shared" si="1"/>
        <v>1968</v>
      </c>
      <c r="H16" s="2" t="s">
        <v>22</v>
      </c>
      <c r="I16" s="3" t="str">
        <f t="shared" si="2"/>
        <v>Single</v>
      </c>
      <c r="J16" s="2" t="s">
        <v>35</v>
      </c>
      <c r="K16" s="3" t="str">
        <f t="shared" si="3"/>
        <v>Female</v>
      </c>
      <c r="L16" s="2" t="s">
        <v>74</v>
      </c>
      <c r="M16" s="3" t="str">
        <f t="shared" si="4"/>
        <v>rebecca10</v>
      </c>
      <c r="N16" s="4">
        <v>100000</v>
      </c>
      <c r="O16" s="6" t="str">
        <f t="shared" si="5"/>
        <v>Rich</v>
      </c>
      <c r="P16" s="2">
        <v>2</v>
      </c>
      <c r="Q16" s="2" t="s">
        <v>47</v>
      </c>
      <c r="R16" s="2" t="s">
        <v>26</v>
      </c>
      <c r="S16" s="2" t="s">
        <v>31</v>
      </c>
    </row>
    <row r="17" spans="1:19" ht="14.25" customHeight="1" x14ac:dyDescent="0.2">
      <c r="A17" s="2">
        <v>13016</v>
      </c>
      <c r="B17" s="2" t="s">
        <v>19</v>
      </c>
      <c r="C17" s="2" t="s">
        <v>75</v>
      </c>
      <c r="D17" s="2" t="s">
        <v>76</v>
      </c>
      <c r="E17" s="3" t="str">
        <f t="shared" si="0"/>
        <v>MR. ANTONIO BRYANT</v>
      </c>
      <c r="F17" s="7">
        <v>25023</v>
      </c>
      <c r="G17" s="3">
        <f t="shared" si="1"/>
        <v>1968</v>
      </c>
      <c r="H17" s="2" t="s">
        <v>23</v>
      </c>
      <c r="I17" s="3" t="str">
        <f t="shared" si="2"/>
        <v>Married</v>
      </c>
      <c r="J17" s="2" t="s">
        <v>23</v>
      </c>
      <c r="K17" s="3" t="str">
        <f t="shared" si="3"/>
        <v>Male</v>
      </c>
      <c r="L17" s="2" t="s">
        <v>77</v>
      </c>
      <c r="M17" s="3" t="str">
        <f t="shared" si="4"/>
        <v>antonio18</v>
      </c>
      <c r="N17" s="4">
        <v>110000</v>
      </c>
      <c r="O17" s="6" t="str">
        <f t="shared" si="5"/>
        <v>Rich</v>
      </c>
      <c r="P17" s="2">
        <v>1</v>
      </c>
      <c r="Q17" s="2" t="s">
        <v>25</v>
      </c>
      <c r="R17" s="2" t="s">
        <v>26</v>
      </c>
      <c r="S17" s="2" t="s">
        <v>27</v>
      </c>
    </row>
    <row r="18" spans="1:19" ht="14.25" customHeight="1" x14ac:dyDescent="0.2">
      <c r="A18" s="2">
        <v>13017</v>
      </c>
      <c r="B18" s="2" t="s">
        <v>19</v>
      </c>
      <c r="C18" s="2" t="s">
        <v>78</v>
      </c>
      <c r="D18" s="2" t="s">
        <v>79</v>
      </c>
      <c r="E18" s="3" t="str">
        <f t="shared" si="0"/>
        <v>MR. XAVIER ALEXANDER</v>
      </c>
      <c r="F18" s="7">
        <v>28902</v>
      </c>
      <c r="G18" s="3">
        <f t="shared" si="1"/>
        <v>1979</v>
      </c>
      <c r="H18" s="2" t="s">
        <v>23</v>
      </c>
      <c r="I18" s="3" t="str">
        <f t="shared" si="2"/>
        <v>Married</v>
      </c>
      <c r="J18" s="2" t="s">
        <v>23</v>
      </c>
      <c r="K18" s="3" t="str">
        <f t="shared" si="3"/>
        <v>Male</v>
      </c>
      <c r="L18" s="2" t="s">
        <v>80</v>
      </c>
      <c r="M18" s="3" t="str">
        <f t="shared" si="4"/>
        <v>xavier59</v>
      </c>
      <c r="N18" s="4">
        <v>30000</v>
      </c>
      <c r="O18" s="6" t="str">
        <f t="shared" si="5"/>
        <v>Poor</v>
      </c>
      <c r="P18" s="2">
        <v>0</v>
      </c>
      <c r="Q18" s="2" t="s">
        <v>81</v>
      </c>
      <c r="R18" s="2" t="s">
        <v>82</v>
      </c>
      <c r="S18" s="2" t="s">
        <v>27</v>
      </c>
    </row>
    <row r="19" spans="1:19" ht="14.25" customHeight="1" x14ac:dyDescent="0.2">
      <c r="A19" s="2">
        <v>13018</v>
      </c>
      <c r="B19" s="2" t="s">
        <v>19</v>
      </c>
      <c r="C19" s="2" t="s">
        <v>83</v>
      </c>
      <c r="D19" s="2" t="s">
        <v>84</v>
      </c>
      <c r="E19" s="3" t="str">
        <f t="shared" si="0"/>
        <v>MR. BRENDAN XIE</v>
      </c>
      <c r="F19" s="7">
        <v>16356</v>
      </c>
      <c r="G19" s="3">
        <f t="shared" si="1"/>
        <v>1944</v>
      </c>
      <c r="H19" s="2" t="s">
        <v>23</v>
      </c>
      <c r="I19" s="3" t="str">
        <f t="shared" si="2"/>
        <v>Married</v>
      </c>
      <c r="J19" s="2" t="s">
        <v>23</v>
      </c>
      <c r="K19" s="3" t="str">
        <f t="shared" si="3"/>
        <v>Male</v>
      </c>
      <c r="L19" s="2" t="s">
        <v>85</v>
      </c>
      <c r="M19" s="3" t="str">
        <f t="shared" si="4"/>
        <v>brendan3</v>
      </c>
      <c r="N19" s="4">
        <v>10000</v>
      </c>
      <c r="O19" s="6" t="str">
        <f t="shared" si="5"/>
        <v>Poor</v>
      </c>
      <c r="P19" s="2">
        <v>5</v>
      </c>
      <c r="Q19" s="2" t="s">
        <v>86</v>
      </c>
      <c r="R19" s="2" t="s">
        <v>82</v>
      </c>
      <c r="S19" s="2" t="s">
        <v>27</v>
      </c>
    </row>
    <row r="20" spans="1:19" ht="14.25" customHeight="1" x14ac:dyDescent="0.2">
      <c r="A20" s="2">
        <v>13019</v>
      </c>
      <c r="B20" s="2" t="s">
        <v>43</v>
      </c>
      <c r="C20" s="2" t="s">
        <v>87</v>
      </c>
      <c r="D20" s="2" t="s">
        <v>88</v>
      </c>
      <c r="E20" s="3" t="str">
        <f t="shared" si="0"/>
        <v>MS. DESTINY MURPHY</v>
      </c>
      <c r="F20" s="7">
        <v>28915</v>
      </c>
      <c r="G20" s="3">
        <f t="shared" si="1"/>
        <v>1979</v>
      </c>
      <c r="H20" s="2" t="s">
        <v>22</v>
      </c>
      <c r="I20" s="3" t="str">
        <f t="shared" si="2"/>
        <v>Single</v>
      </c>
      <c r="J20" s="2" t="s">
        <v>35</v>
      </c>
      <c r="K20" s="3" t="str">
        <f t="shared" si="3"/>
        <v>Female</v>
      </c>
      <c r="L20" s="2" t="s">
        <v>89</v>
      </c>
      <c r="M20" s="3" t="str">
        <f t="shared" si="4"/>
        <v>destiny31</v>
      </c>
      <c r="N20" s="4">
        <v>60000</v>
      </c>
      <c r="O20" s="6" t="str">
        <f t="shared" si="5"/>
        <v>Average</v>
      </c>
      <c r="P20" s="2">
        <v>0</v>
      </c>
      <c r="Q20" s="2" t="s">
        <v>81</v>
      </c>
      <c r="R20" s="2" t="s">
        <v>82</v>
      </c>
      <c r="S20" s="2" t="s">
        <v>27</v>
      </c>
    </row>
    <row r="21" spans="1:19" ht="14.25" customHeight="1" x14ac:dyDescent="0.2">
      <c r="A21" s="2">
        <v>13020</v>
      </c>
      <c r="B21" s="2" t="s">
        <v>19</v>
      </c>
      <c r="C21" s="2" t="s">
        <v>90</v>
      </c>
      <c r="D21" s="2" t="s">
        <v>91</v>
      </c>
      <c r="E21" s="3" t="str">
        <f t="shared" si="0"/>
        <v>MR. MADALENA SANCHEZ</v>
      </c>
      <c r="F21" s="7">
        <v>16567</v>
      </c>
      <c r="G21" s="3">
        <f t="shared" si="1"/>
        <v>1945</v>
      </c>
      <c r="H21" s="2" t="s">
        <v>23</v>
      </c>
      <c r="I21" s="3" t="str">
        <f t="shared" si="2"/>
        <v>Married</v>
      </c>
      <c r="J21" s="2" t="s">
        <v>23</v>
      </c>
      <c r="K21" s="3" t="str">
        <f t="shared" si="3"/>
        <v>Male</v>
      </c>
      <c r="L21" s="2" t="s">
        <v>92</v>
      </c>
      <c r="M21" s="3" t="str">
        <f t="shared" si="4"/>
        <v>madalena0</v>
      </c>
      <c r="N21" s="4">
        <v>10000</v>
      </c>
      <c r="O21" s="6" t="str">
        <f t="shared" si="5"/>
        <v>Poor</v>
      </c>
      <c r="P21" s="2">
        <v>2</v>
      </c>
      <c r="Q21" s="2" t="s">
        <v>93</v>
      </c>
      <c r="R21" s="2" t="s">
        <v>94</v>
      </c>
      <c r="S21" s="2" t="s">
        <v>27</v>
      </c>
    </row>
    <row r="22" spans="1:19" ht="14.25" customHeight="1" x14ac:dyDescent="0.2">
      <c r="A22" s="2">
        <v>13021</v>
      </c>
      <c r="B22" s="2" t="s">
        <v>32</v>
      </c>
      <c r="C22" s="2" t="s">
        <v>95</v>
      </c>
      <c r="D22" s="2" t="s">
        <v>96</v>
      </c>
      <c r="E22" s="3" t="str">
        <f t="shared" si="0"/>
        <v>MRS. KENDRA DIAZ</v>
      </c>
      <c r="F22" s="7">
        <v>16992</v>
      </c>
      <c r="G22" s="3">
        <f t="shared" si="1"/>
        <v>1946</v>
      </c>
      <c r="H22" s="2" t="s">
        <v>22</v>
      </c>
      <c r="I22" s="3" t="str">
        <f t="shared" si="2"/>
        <v>Single</v>
      </c>
      <c r="J22" s="2" t="s">
        <v>35</v>
      </c>
      <c r="K22" s="3" t="str">
        <f t="shared" si="3"/>
        <v>Female</v>
      </c>
      <c r="L22" s="2" t="s">
        <v>97</v>
      </c>
      <c r="M22" s="3" t="str">
        <f t="shared" si="4"/>
        <v>kendra3</v>
      </c>
      <c r="N22" s="4">
        <v>30000</v>
      </c>
      <c r="O22" s="6" t="str">
        <f t="shared" si="5"/>
        <v>Poor</v>
      </c>
      <c r="P22" s="2">
        <v>2</v>
      </c>
      <c r="Q22" s="2" t="s">
        <v>81</v>
      </c>
      <c r="R22" s="2" t="s">
        <v>94</v>
      </c>
      <c r="S22" s="2" t="s">
        <v>27</v>
      </c>
    </row>
    <row r="23" spans="1:19" ht="14.25" customHeight="1" x14ac:dyDescent="0.2">
      <c r="A23" s="2">
        <v>13022</v>
      </c>
      <c r="B23" s="2" t="s">
        <v>19</v>
      </c>
      <c r="C23" s="2" t="s">
        <v>98</v>
      </c>
      <c r="D23" s="2" t="s">
        <v>99</v>
      </c>
      <c r="E23" s="3" t="str">
        <f t="shared" si="0"/>
        <v>MR. RAFAEL MA</v>
      </c>
      <c r="F23" s="7">
        <v>17403</v>
      </c>
      <c r="G23" s="3">
        <f t="shared" si="1"/>
        <v>1947</v>
      </c>
      <c r="H23" s="2" t="s">
        <v>23</v>
      </c>
      <c r="I23" s="3" t="str">
        <f t="shared" si="2"/>
        <v>Married</v>
      </c>
      <c r="J23" s="2" t="s">
        <v>23</v>
      </c>
      <c r="K23" s="3" t="str">
        <f t="shared" si="3"/>
        <v>Male</v>
      </c>
      <c r="L23" s="2" t="s">
        <v>100</v>
      </c>
      <c r="M23" s="3" t="str">
        <f t="shared" si="4"/>
        <v>rafael17</v>
      </c>
      <c r="N23" s="4">
        <v>10000</v>
      </c>
      <c r="O23" s="6" t="str">
        <f t="shared" si="5"/>
        <v>Poor</v>
      </c>
      <c r="P23" s="2">
        <v>2</v>
      </c>
      <c r="Q23" s="2" t="s">
        <v>93</v>
      </c>
      <c r="R23" s="2" t="s">
        <v>94</v>
      </c>
      <c r="S23" s="2" t="s">
        <v>27</v>
      </c>
    </row>
    <row r="24" spans="1:19" ht="14.25" customHeight="1" x14ac:dyDescent="0.2">
      <c r="A24" s="2">
        <v>13023</v>
      </c>
      <c r="B24" s="2" t="s">
        <v>32</v>
      </c>
      <c r="C24" s="2" t="s">
        <v>101</v>
      </c>
      <c r="D24" s="2" t="s">
        <v>102</v>
      </c>
      <c r="E24" s="3" t="str">
        <f t="shared" si="0"/>
        <v>MRS. DOMINIQUE RAMAN</v>
      </c>
      <c r="F24" s="7">
        <v>17225</v>
      </c>
      <c r="G24" s="3">
        <f t="shared" si="1"/>
        <v>1947</v>
      </c>
      <c r="H24" s="2" t="s">
        <v>22</v>
      </c>
      <c r="I24" s="3" t="str">
        <f t="shared" si="2"/>
        <v>Single</v>
      </c>
      <c r="J24" s="2" t="s">
        <v>35</v>
      </c>
      <c r="K24" s="3" t="str">
        <f t="shared" si="3"/>
        <v>Female</v>
      </c>
      <c r="L24" s="2" t="s">
        <v>103</v>
      </c>
      <c r="M24" s="3" t="str">
        <f t="shared" si="4"/>
        <v>dominique9</v>
      </c>
      <c r="N24" s="4">
        <v>20000</v>
      </c>
      <c r="O24" s="6" t="str">
        <f t="shared" si="5"/>
        <v>Poor</v>
      </c>
      <c r="P24" s="2">
        <v>4</v>
      </c>
      <c r="Q24" s="2" t="s">
        <v>86</v>
      </c>
      <c r="R24" s="2" t="s">
        <v>82</v>
      </c>
      <c r="S24" s="2" t="s">
        <v>27</v>
      </c>
    </row>
    <row r="25" spans="1:19" ht="14.25" customHeight="1" x14ac:dyDescent="0.2">
      <c r="A25" s="2">
        <v>13024</v>
      </c>
      <c r="B25" s="2" t="s">
        <v>19</v>
      </c>
      <c r="C25" s="2" t="s">
        <v>104</v>
      </c>
      <c r="D25" s="2" t="s">
        <v>105</v>
      </c>
      <c r="E25" s="3" t="str">
        <f t="shared" si="0"/>
        <v>MR. MARC MORENO</v>
      </c>
      <c r="F25" s="7">
        <v>17235</v>
      </c>
      <c r="G25" s="3">
        <f t="shared" si="1"/>
        <v>1947</v>
      </c>
      <c r="H25" s="2" t="s">
        <v>23</v>
      </c>
      <c r="I25" s="3" t="str">
        <f t="shared" si="2"/>
        <v>Married</v>
      </c>
      <c r="J25" s="2" t="s">
        <v>23</v>
      </c>
      <c r="K25" s="3" t="str">
        <f t="shared" si="3"/>
        <v>Male</v>
      </c>
      <c r="L25" s="2" t="s">
        <v>106</v>
      </c>
      <c r="M25" s="3" t="str">
        <f t="shared" si="4"/>
        <v>marc10</v>
      </c>
      <c r="N25" s="4">
        <v>30000</v>
      </c>
      <c r="O25" s="6" t="str">
        <f t="shared" si="5"/>
        <v>Poor</v>
      </c>
      <c r="P25" s="2">
        <v>2</v>
      </c>
      <c r="Q25" s="2" t="s">
        <v>81</v>
      </c>
      <c r="R25" s="2" t="s">
        <v>94</v>
      </c>
      <c r="S25" s="2" t="s">
        <v>31</v>
      </c>
    </row>
    <row r="26" spans="1:19" ht="14.25" customHeight="1" x14ac:dyDescent="0.2">
      <c r="A26" s="2">
        <v>13025</v>
      </c>
      <c r="B26" s="2" t="s">
        <v>19</v>
      </c>
      <c r="C26" s="2" t="s">
        <v>107</v>
      </c>
      <c r="D26" s="2" t="s">
        <v>108</v>
      </c>
      <c r="E26" s="3" t="str">
        <f t="shared" si="0"/>
        <v>MR. REGINALD SERRANO</v>
      </c>
      <c r="F26" s="7">
        <v>17490</v>
      </c>
      <c r="G26" s="3">
        <f t="shared" si="1"/>
        <v>1947</v>
      </c>
      <c r="H26" s="2" t="s">
        <v>23</v>
      </c>
      <c r="I26" s="3" t="str">
        <f t="shared" si="2"/>
        <v>Married</v>
      </c>
      <c r="J26" s="2" t="s">
        <v>23</v>
      </c>
      <c r="K26" s="3" t="str">
        <f t="shared" si="3"/>
        <v>Male</v>
      </c>
      <c r="L26" s="2" t="s">
        <v>109</v>
      </c>
      <c r="M26" s="3" t="str">
        <f t="shared" si="4"/>
        <v>reginald2</v>
      </c>
      <c r="N26" s="4">
        <v>30000</v>
      </c>
      <c r="O26" s="6" t="str">
        <f t="shared" si="5"/>
        <v>Poor</v>
      </c>
      <c r="P26" s="2">
        <v>2</v>
      </c>
      <c r="Q26" s="2" t="s">
        <v>81</v>
      </c>
      <c r="R26" s="2" t="s">
        <v>94</v>
      </c>
      <c r="S26" s="2" t="s">
        <v>31</v>
      </c>
    </row>
    <row r="27" spans="1:19" ht="14.25" customHeight="1" x14ac:dyDescent="0.2">
      <c r="A27" s="2">
        <v>13026</v>
      </c>
      <c r="B27" s="2" t="s">
        <v>32</v>
      </c>
      <c r="C27" s="2" t="s">
        <v>110</v>
      </c>
      <c r="D27" s="2" t="s">
        <v>111</v>
      </c>
      <c r="E27" s="3" t="str">
        <f t="shared" si="0"/>
        <v>MRS. COLLEEN ZHENG</v>
      </c>
      <c r="F27" s="7">
        <v>17638</v>
      </c>
      <c r="G27" s="3">
        <f t="shared" si="1"/>
        <v>1948</v>
      </c>
      <c r="H27" s="2" t="s">
        <v>22</v>
      </c>
      <c r="I27" s="3" t="str">
        <f t="shared" si="2"/>
        <v>Single</v>
      </c>
      <c r="J27" s="2" t="s">
        <v>35</v>
      </c>
      <c r="K27" s="3" t="str">
        <f t="shared" si="3"/>
        <v>Female</v>
      </c>
      <c r="L27" s="2" t="s">
        <v>112</v>
      </c>
      <c r="M27" s="3" t="str">
        <f t="shared" si="4"/>
        <v>colleen20</v>
      </c>
      <c r="N27" s="4">
        <v>10000</v>
      </c>
      <c r="O27" s="6" t="str">
        <f t="shared" si="5"/>
        <v>Poor</v>
      </c>
      <c r="P27" s="2">
        <v>2</v>
      </c>
      <c r="Q27" s="2" t="s">
        <v>93</v>
      </c>
      <c r="R27" s="2" t="s">
        <v>94</v>
      </c>
      <c r="S27" s="2" t="s">
        <v>27</v>
      </c>
    </row>
    <row r="28" spans="1:19" ht="14.25" customHeight="1" x14ac:dyDescent="0.2">
      <c r="A28" s="2">
        <v>13027</v>
      </c>
      <c r="B28" s="2" t="s">
        <v>19</v>
      </c>
      <c r="C28" s="2" t="s">
        <v>113</v>
      </c>
      <c r="D28" s="2" t="s">
        <v>114</v>
      </c>
      <c r="E28" s="3" t="str">
        <f t="shared" si="0"/>
        <v>MR. JEREMY PATTERSON</v>
      </c>
      <c r="F28" s="7">
        <v>28470</v>
      </c>
      <c r="G28" s="3">
        <f t="shared" si="1"/>
        <v>1977</v>
      </c>
      <c r="H28" s="2" t="s">
        <v>22</v>
      </c>
      <c r="I28" s="3" t="str">
        <f t="shared" si="2"/>
        <v>Single</v>
      </c>
      <c r="J28" s="2" t="s">
        <v>23</v>
      </c>
      <c r="K28" s="3" t="str">
        <f t="shared" si="3"/>
        <v>Male</v>
      </c>
      <c r="L28" s="2" t="s">
        <v>115</v>
      </c>
      <c r="M28" s="3" t="str">
        <f t="shared" si="4"/>
        <v>jeremy27</v>
      </c>
      <c r="N28" s="4">
        <v>40000</v>
      </c>
      <c r="O28" s="6" t="str">
        <f t="shared" si="5"/>
        <v>Poor</v>
      </c>
      <c r="P28" s="2">
        <v>0</v>
      </c>
      <c r="Q28" s="2" t="s">
        <v>93</v>
      </c>
      <c r="R28" s="2" t="s">
        <v>94</v>
      </c>
      <c r="S28" s="2" t="s">
        <v>27</v>
      </c>
    </row>
    <row r="29" spans="1:19" ht="14.25" customHeight="1" x14ac:dyDescent="0.2">
      <c r="A29" s="2">
        <v>13028</v>
      </c>
      <c r="B29" s="2" t="s">
        <v>19</v>
      </c>
      <c r="C29" s="2" t="s">
        <v>116</v>
      </c>
      <c r="D29" s="2" t="s">
        <v>117</v>
      </c>
      <c r="E29" s="3" t="str">
        <f t="shared" si="0"/>
        <v>MR. DALTON THOMPSON</v>
      </c>
      <c r="F29" s="7">
        <v>28385</v>
      </c>
      <c r="G29" s="3">
        <f t="shared" si="1"/>
        <v>1977</v>
      </c>
      <c r="H29" s="2" t="s">
        <v>22</v>
      </c>
      <c r="I29" s="3" t="str">
        <f t="shared" si="2"/>
        <v>Single</v>
      </c>
      <c r="J29" s="2" t="s">
        <v>23</v>
      </c>
      <c r="K29" s="3" t="str">
        <f t="shared" si="3"/>
        <v>Male</v>
      </c>
      <c r="L29" s="2" t="s">
        <v>118</v>
      </c>
      <c r="M29" s="3" t="str">
        <f t="shared" si="4"/>
        <v>dalton14</v>
      </c>
      <c r="N29" s="4">
        <v>30000</v>
      </c>
      <c r="O29" s="6" t="str">
        <f t="shared" si="5"/>
        <v>Poor</v>
      </c>
      <c r="P29" s="2">
        <v>0</v>
      </c>
      <c r="Q29" s="2" t="s">
        <v>81</v>
      </c>
      <c r="R29" s="2" t="s">
        <v>82</v>
      </c>
      <c r="S29" s="2" t="s">
        <v>27</v>
      </c>
    </row>
    <row r="30" spans="1:19" ht="14.25" customHeight="1" x14ac:dyDescent="0.2">
      <c r="A30" s="2">
        <v>13029</v>
      </c>
      <c r="B30" s="2" t="s">
        <v>43</v>
      </c>
      <c r="C30" s="2" t="s">
        <v>119</v>
      </c>
      <c r="D30" s="2" t="s">
        <v>120</v>
      </c>
      <c r="E30" s="3" t="str">
        <f t="shared" si="0"/>
        <v>MS. JENNIFER FOSTER</v>
      </c>
      <c r="F30" s="7">
        <v>28373</v>
      </c>
      <c r="G30" s="3">
        <f t="shared" si="1"/>
        <v>1977</v>
      </c>
      <c r="H30" s="2" t="s">
        <v>22</v>
      </c>
      <c r="I30" s="3" t="str">
        <f t="shared" si="2"/>
        <v>Single</v>
      </c>
      <c r="J30" s="2" t="s">
        <v>35</v>
      </c>
      <c r="K30" s="3" t="str">
        <f t="shared" si="3"/>
        <v>Female</v>
      </c>
      <c r="L30" s="2" t="s">
        <v>121</v>
      </c>
      <c r="M30" s="3" t="str">
        <f t="shared" si="4"/>
        <v>jennifer89</v>
      </c>
      <c r="N30" s="4">
        <v>30000</v>
      </c>
      <c r="O30" s="6" t="str">
        <f t="shared" si="5"/>
        <v>Poor</v>
      </c>
      <c r="P30" s="2">
        <v>0</v>
      </c>
      <c r="Q30" s="2" t="s">
        <v>81</v>
      </c>
      <c r="R30" s="2" t="s">
        <v>82</v>
      </c>
      <c r="S30" s="2" t="s">
        <v>31</v>
      </c>
    </row>
    <row r="31" spans="1:19" ht="14.25" customHeight="1" x14ac:dyDescent="0.2">
      <c r="A31" s="2">
        <v>13030</v>
      </c>
      <c r="B31" s="2" t="s">
        <v>43</v>
      </c>
      <c r="C31" s="2" t="s">
        <v>122</v>
      </c>
      <c r="D31" s="2" t="s">
        <v>123</v>
      </c>
      <c r="E31" s="3" t="str">
        <f t="shared" si="0"/>
        <v>MS. SOPHIA LOPEZ</v>
      </c>
      <c r="F31" s="7">
        <v>28319</v>
      </c>
      <c r="G31" s="3">
        <f t="shared" si="1"/>
        <v>1977</v>
      </c>
      <c r="H31" s="2" t="s">
        <v>22</v>
      </c>
      <c r="I31" s="3" t="str">
        <f t="shared" si="2"/>
        <v>Single</v>
      </c>
      <c r="J31" s="2" t="s">
        <v>35</v>
      </c>
      <c r="K31" s="3" t="str">
        <f t="shared" si="3"/>
        <v>Female</v>
      </c>
      <c r="L31" s="2" t="s">
        <v>124</v>
      </c>
      <c r="M31" s="3" t="str">
        <f t="shared" si="4"/>
        <v>sophia19</v>
      </c>
      <c r="N31" s="4">
        <v>60000</v>
      </c>
      <c r="O31" s="6" t="str">
        <f t="shared" si="5"/>
        <v>Average</v>
      </c>
      <c r="P31" s="2">
        <v>0</v>
      </c>
      <c r="Q31" s="2" t="s">
        <v>81</v>
      </c>
      <c r="R31" s="2" t="s">
        <v>82</v>
      </c>
      <c r="S31" s="2" t="s">
        <v>27</v>
      </c>
    </row>
    <row r="32" spans="1:19" ht="14.25" customHeight="1" x14ac:dyDescent="0.2">
      <c r="A32" s="2">
        <v>13031</v>
      </c>
      <c r="B32" s="2" t="s">
        <v>19</v>
      </c>
      <c r="C32" s="2" t="s">
        <v>125</v>
      </c>
      <c r="D32" s="2" t="s">
        <v>126</v>
      </c>
      <c r="E32" s="3" t="str">
        <f t="shared" si="0"/>
        <v>MR. HUNTER SHAN</v>
      </c>
      <c r="F32" s="7">
        <v>28172</v>
      </c>
      <c r="G32" s="3">
        <f t="shared" si="1"/>
        <v>1977</v>
      </c>
      <c r="H32" s="2" t="s">
        <v>22</v>
      </c>
      <c r="I32" s="3" t="str">
        <f t="shared" si="2"/>
        <v>Single</v>
      </c>
      <c r="J32" s="2" t="s">
        <v>23</v>
      </c>
      <c r="K32" s="3" t="str">
        <f t="shared" si="3"/>
        <v>Male</v>
      </c>
      <c r="L32" s="2" t="s">
        <v>127</v>
      </c>
      <c r="M32" s="3" t="str">
        <f t="shared" si="4"/>
        <v>hunter26</v>
      </c>
      <c r="N32" s="4">
        <v>60000</v>
      </c>
      <c r="O32" s="6" t="str">
        <f t="shared" si="5"/>
        <v>Average</v>
      </c>
      <c r="P32" s="2">
        <v>0</v>
      </c>
      <c r="Q32" s="2" t="s">
        <v>81</v>
      </c>
      <c r="R32" s="2" t="s">
        <v>82</v>
      </c>
      <c r="S32" s="2" t="s">
        <v>31</v>
      </c>
    </row>
    <row r="33" spans="1:19" ht="14.25" customHeight="1" x14ac:dyDescent="0.2">
      <c r="A33" s="2">
        <v>13032</v>
      </c>
      <c r="B33" s="2" t="s">
        <v>19</v>
      </c>
      <c r="C33" s="2" t="s">
        <v>128</v>
      </c>
      <c r="D33" s="2" t="s">
        <v>129</v>
      </c>
      <c r="E33" s="3" t="str">
        <f t="shared" si="0"/>
        <v>MR. KEVIN BAKER</v>
      </c>
      <c r="F33" s="7">
        <v>28224</v>
      </c>
      <c r="G33" s="3">
        <f t="shared" si="1"/>
        <v>1977</v>
      </c>
      <c r="H33" s="2" t="s">
        <v>23</v>
      </c>
      <c r="I33" s="3" t="str">
        <f t="shared" si="2"/>
        <v>Married</v>
      </c>
      <c r="J33" s="2" t="s">
        <v>23</v>
      </c>
      <c r="K33" s="3" t="str">
        <f t="shared" si="3"/>
        <v>Male</v>
      </c>
      <c r="L33" s="2" t="s">
        <v>130</v>
      </c>
      <c r="M33" s="3" t="str">
        <f t="shared" si="4"/>
        <v>kevin45</v>
      </c>
      <c r="N33" s="4">
        <v>70000</v>
      </c>
      <c r="O33" s="6" t="str">
        <f t="shared" si="5"/>
        <v>Average</v>
      </c>
      <c r="P33" s="2">
        <v>0</v>
      </c>
      <c r="Q33" s="2" t="s">
        <v>81</v>
      </c>
      <c r="R33" s="2" t="s">
        <v>82</v>
      </c>
      <c r="S33" s="2" t="s">
        <v>27</v>
      </c>
    </row>
    <row r="34" spans="1:19" ht="14.25" customHeight="1" x14ac:dyDescent="0.2">
      <c r="A34" s="2">
        <v>13033</v>
      </c>
      <c r="B34" s="2" t="s">
        <v>19</v>
      </c>
      <c r="C34" s="2" t="s">
        <v>78</v>
      </c>
      <c r="D34" s="2" t="s">
        <v>131</v>
      </c>
      <c r="E34" s="3" t="str">
        <f t="shared" si="0"/>
        <v>MR. XAVIER GONZALEZ</v>
      </c>
      <c r="F34" s="7">
        <v>28084</v>
      </c>
      <c r="G34" s="3">
        <f t="shared" si="1"/>
        <v>1976</v>
      </c>
      <c r="H34" s="2" t="s">
        <v>22</v>
      </c>
      <c r="I34" s="3" t="str">
        <f t="shared" si="2"/>
        <v>Single</v>
      </c>
      <c r="J34" s="2" t="s">
        <v>23</v>
      </c>
      <c r="K34" s="3" t="str">
        <f t="shared" si="3"/>
        <v>Male</v>
      </c>
      <c r="L34" s="2" t="s">
        <v>132</v>
      </c>
      <c r="M34" s="3" t="str">
        <f t="shared" si="4"/>
        <v>xavier31</v>
      </c>
      <c r="N34" s="4">
        <v>60000</v>
      </c>
      <c r="O34" s="6" t="str">
        <f t="shared" si="5"/>
        <v>Average</v>
      </c>
      <c r="P34" s="2">
        <v>0</v>
      </c>
      <c r="Q34" s="2" t="s">
        <v>81</v>
      </c>
      <c r="R34" s="2" t="s">
        <v>82</v>
      </c>
      <c r="S34" s="2" t="s">
        <v>31</v>
      </c>
    </row>
    <row r="35" spans="1:19" ht="14.25" customHeight="1" x14ac:dyDescent="0.2">
      <c r="A35" s="2">
        <v>13034</v>
      </c>
      <c r="B35" s="2" t="s">
        <v>32</v>
      </c>
      <c r="C35" s="2" t="s">
        <v>133</v>
      </c>
      <c r="D35" s="2" t="s">
        <v>134</v>
      </c>
      <c r="E35" s="3" t="str">
        <f t="shared" si="0"/>
        <v>MRS. KELSEY YUAN</v>
      </c>
      <c r="F35" s="7">
        <v>17956</v>
      </c>
      <c r="G35" s="3">
        <f t="shared" si="1"/>
        <v>1949</v>
      </c>
      <c r="H35" s="2" t="s">
        <v>22</v>
      </c>
      <c r="I35" s="3" t="str">
        <f t="shared" si="2"/>
        <v>Single</v>
      </c>
      <c r="J35" s="2" t="s">
        <v>35</v>
      </c>
      <c r="K35" s="3" t="str">
        <f t="shared" si="3"/>
        <v>Female</v>
      </c>
      <c r="L35" s="2" t="s">
        <v>135</v>
      </c>
      <c r="M35" s="3" t="str">
        <f t="shared" si="4"/>
        <v>kelsey6</v>
      </c>
      <c r="N35" s="4">
        <v>20000</v>
      </c>
      <c r="O35" s="6" t="str">
        <f t="shared" si="5"/>
        <v>Poor</v>
      </c>
      <c r="P35" s="2">
        <v>2</v>
      </c>
      <c r="Q35" s="2" t="s">
        <v>93</v>
      </c>
      <c r="R35" s="2" t="s">
        <v>94</v>
      </c>
      <c r="S35" s="2" t="s">
        <v>27</v>
      </c>
    </row>
    <row r="36" spans="1:19" ht="14.25" customHeight="1" x14ac:dyDescent="0.2">
      <c r="A36" s="2">
        <v>13035</v>
      </c>
      <c r="B36" s="2" t="s">
        <v>32</v>
      </c>
      <c r="C36" s="2" t="s">
        <v>136</v>
      </c>
      <c r="D36" s="2" t="s">
        <v>137</v>
      </c>
      <c r="E36" s="3" t="str">
        <f t="shared" si="0"/>
        <v>MRS. KRISTY TORRES</v>
      </c>
      <c r="F36" s="7">
        <v>18570</v>
      </c>
      <c r="G36" s="3">
        <f t="shared" si="1"/>
        <v>1950</v>
      </c>
      <c r="H36" s="2" t="s">
        <v>23</v>
      </c>
      <c r="I36" s="3" t="str">
        <f t="shared" si="2"/>
        <v>Married</v>
      </c>
      <c r="J36" s="2" t="s">
        <v>35</v>
      </c>
      <c r="K36" s="3" t="str">
        <f t="shared" si="3"/>
        <v>Female</v>
      </c>
      <c r="L36" s="2" t="s">
        <v>138</v>
      </c>
      <c r="M36" s="3" t="str">
        <f t="shared" si="4"/>
        <v>kristy11</v>
      </c>
      <c r="N36" s="4">
        <v>30000</v>
      </c>
      <c r="O36" s="6" t="str">
        <f t="shared" si="5"/>
        <v>Poor</v>
      </c>
      <c r="P36" s="2">
        <v>3</v>
      </c>
      <c r="Q36" s="2" t="s">
        <v>81</v>
      </c>
      <c r="R36" s="2" t="s">
        <v>94</v>
      </c>
      <c r="S36" s="2" t="s">
        <v>31</v>
      </c>
    </row>
    <row r="37" spans="1:19" ht="14.25" customHeight="1" x14ac:dyDescent="0.2">
      <c r="A37" s="2">
        <v>13036</v>
      </c>
      <c r="B37" s="2" t="s">
        <v>32</v>
      </c>
      <c r="C37" s="2" t="s">
        <v>139</v>
      </c>
      <c r="D37" s="2" t="s">
        <v>140</v>
      </c>
      <c r="E37" s="3" t="str">
        <f t="shared" si="0"/>
        <v>MRS. VIRGINIA SUBRAM</v>
      </c>
      <c r="F37" s="7">
        <v>18297</v>
      </c>
      <c r="G37" s="3">
        <f t="shared" si="1"/>
        <v>1950</v>
      </c>
      <c r="H37" s="2" t="s">
        <v>22</v>
      </c>
      <c r="I37" s="3" t="str">
        <f t="shared" si="2"/>
        <v>Single</v>
      </c>
      <c r="J37" s="2" t="s">
        <v>35</v>
      </c>
      <c r="K37" s="3" t="str">
        <f t="shared" si="3"/>
        <v>Female</v>
      </c>
      <c r="L37" s="2" t="s">
        <v>141</v>
      </c>
      <c r="M37" s="3" t="str">
        <f t="shared" si="4"/>
        <v>virginia15</v>
      </c>
      <c r="N37" s="4">
        <v>30000</v>
      </c>
      <c r="O37" s="6" t="str">
        <f t="shared" si="5"/>
        <v>Poor</v>
      </c>
      <c r="P37" s="2">
        <v>3</v>
      </c>
      <c r="Q37" s="2" t="s">
        <v>81</v>
      </c>
      <c r="R37" s="2" t="s">
        <v>94</v>
      </c>
      <c r="S37" s="2" t="s">
        <v>27</v>
      </c>
    </row>
    <row r="38" spans="1:19" ht="14.25" customHeight="1" x14ac:dyDescent="0.2">
      <c r="A38" s="2">
        <v>13037</v>
      </c>
      <c r="B38" s="2" t="s">
        <v>19</v>
      </c>
      <c r="C38" s="2" t="s">
        <v>142</v>
      </c>
      <c r="D38" s="2" t="s">
        <v>143</v>
      </c>
      <c r="E38" s="3" t="str">
        <f t="shared" si="0"/>
        <v>MR. TERRENCE PAL</v>
      </c>
      <c r="F38" s="7">
        <v>18379</v>
      </c>
      <c r="G38" s="3">
        <f t="shared" si="1"/>
        <v>1950</v>
      </c>
      <c r="H38" s="2" t="s">
        <v>23</v>
      </c>
      <c r="I38" s="3" t="str">
        <f t="shared" si="2"/>
        <v>Married</v>
      </c>
      <c r="J38" s="2" t="s">
        <v>23</v>
      </c>
      <c r="K38" s="3" t="str">
        <f t="shared" si="3"/>
        <v>Male</v>
      </c>
      <c r="L38" s="2" t="s">
        <v>144</v>
      </c>
      <c r="M38" s="3" t="str">
        <f t="shared" si="4"/>
        <v>terrence12</v>
      </c>
      <c r="N38" s="4">
        <v>30000</v>
      </c>
      <c r="O38" s="6" t="str">
        <f t="shared" si="5"/>
        <v>Poor</v>
      </c>
      <c r="P38" s="2">
        <v>3</v>
      </c>
      <c r="Q38" s="2" t="s">
        <v>86</v>
      </c>
      <c r="R38" s="2" t="s">
        <v>82</v>
      </c>
      <c r="S38" s="2" t="s">
        <v>31</v>
      </c>
    </row>
    <row r="39" spans="1:19" ht="14.25" customHeight="1" x14ac:dyDescent="0.2">
      <c r="A39" s="2">
        <v>13038</v>
      </c>
      <c r="B39" s="2" t="s">
        <v>19</v>
      </c>
      <c r="C39" s="2" t="s">
        <v>145</v>
      </c>
      <c r="D39" s="2" t="s">
        <v>146</v>
      </c>
      <c r="E39" s="3" t="str">
        <f t="shared" si="0"/>
        <v>MR. WILSON PAIS</v>
      </c>
      <c r="F39" s="7">
        <v>18295</v>
      </c>
      <c r="G39" s="3">
        <f t="shared" si="1"/>
        <v>1950</v>
      </c>
      <c r="H39" s="2" t="s">
        <v>23</v>
      </c>
      <c r="I39" s="3" t="str">
        <f t="shared" si="2"/>
        <v>Married</v>
      </c>
      <c r="J39" s="2" t="s">
        <v>23</v>
      </c>
      <c r="K39" s="3" t="str">
        <f t="shared" si="3"/>
        <v>Male</v>
      </c>
      <c r="L39" s="2" t="s">
        <v>147</v>
      </c>
      <c r="M39" s="3" t="str">
        <f t="shared" si="4"/>
        <v>wilson0</v>
      </c>
      <c r="N39" s="4">
        <v>40000</v>
      </c>
      <c r="O39" s="6" t="str">
        <f t="shared" si="5"/>
        <v>Poor</v>
      </c>
      <c r="P39" s="2">
        <v>2</v>
      </c>
      <c r="Q39" s="2" t="s">
        <v>47</v>
      </c>
      <c r="R39" s="2" t="s">
        <v>26</v>
      </c>
      <c r="S39" s="2" t="s">
        <v>31</v>
      </c>
    </row>
    <row r="40" spans="1:19" ht="14.25" customHeight="1" x14ac:dyDescent="0.2">
      <c r="A40" s="2">
        <v>13039</v>
      </c>
      <c r="B40" s="2" t="s">
        <v>43</v>
      </c>
      <c r="C40" s="2" t="s">
        <v>148</v>
      </c>
      <c r="D40" s="2" t="s">
        <v>99</v>
      </c>
      <c r="E40" s="3" t="str">
        <f t="shared" si="0"/>
        <v>MS. TRISHA MA</v>
      </c>
      <c r="F40" s="7">
        <v>29453</v>
      </c>
      <c r="G40" s="3">
        <f t="shared" si="1"/>
        <v>1980</v>
      </c>
      <c r="H40" s="2" t="s">
        <v>22</v>
      </c>
      <c r="I40" s="3" t="str">
        <f t="shared" si="2"/>
        <v>Single</v>
      </c>
      <c r="J40" s="2" t="s">
        <v>35</v>
      </c>
      <c r="K40" s="3" t="str">
        <f t="shared" si="3"/>
        <v>Female</v>
      </c>
      <c r="L40" s="2" t="s">
        <v>149</v>
      </c>
      <c r="M40" s="3" t="str">
        <f t="shared" si="4"/>
        <v>trisha10</v>
      </c>
      <c r="N40" s="4">
        <v>20000</v>
      </c>
      <c r="O40" s="6" t="str">
        <f t="shared" si="5"/>
        <v>Poor</v>
      </c>
      <c r="P40" s="2">
        <v>0</v>
      </c>
      <c r="Q40" s="2" t="s">
        <v>81</v>
      </c>
      <c r="R40" s="2" t="s">
        <v>82</v>
      </c>
      <c r="S40" s="2" t="s">
        <v>31</v>
      </c>
    </row>
    <row r="41" spans="1:19" ht="14.25" customHeight="1" x14ac:dyDescent="0.2">
      <c r="A41" s="2">
        <v>13040</v>
      </c>
      <c r="B41" s="2" t="s">
        <v>19</v>
      </c>
      <c r="C41" s="2" t="s">
        <v>150</v>
      </c>
      <c r="D41" s="2" t="s">
        <v>131</v>
      </c>
      <c r="E41" s="3" t="str">
        <f t="shared" si="0"/>
        <v>MR. ROY GONZALEZ</v>
      </c>
      <c r="F41" s="7">
        <v>18891</v>
      </c>
      <c r="G41" s="3">
        <f t="shared" si="1"/>
        <v>1951</v>
      </c>
      <c r="H41" s="2" t="s">
        <v>23</v>
      </c>
      <c r="I41" s="3" t="str">
        <f t="shared" si="2"/>
        <v>Married</v>
      </c>
      <c r="J41" s="2" t="s">
        <v>23</v>
      </c>
      <c r="K41" s="3" t="str">
        <f t="shared" si="3"/>
        <v>Male</v>
      </c>
      <c r="L41" s="2" t="s">
        <v>151</v>
      </c>
      <c r="M41" s="3" t="str">
        <f t="shared" si="4"/>
        <v>roy19</v>
      </c>
      <c r="N41" s="4">
        <v>30000</v>
      </c>
      <c r="O41" s="6" t="str">
        <f t="shared" si="5"/>
        <v>Poor</v>
      </c>
      <c r="P41" s="2">
        <v>3</v>
      </c>
      <c r="Q41" s="2" t="s">
        <v>86</v>
      </c>
      <c r="R41" s="2" t="s">
        <v>82</v>
      </c>
      <c r="S41" s="2" t="s">
        <v>27</v>
      </c>
    </row>
    <row r="42" spans="1:19" ht="14.25" customHeight="1" x14ac:dyDescent="0.2">
      <c r="A42" s="2">
        <v>13041</v>
      </c>
      <c r="B42" s="2" t="s">
        <v>19</v>
      </c>
      <c r="C42" s="2" t="s">
        <v>152</v>
      </c>
      <c r="D42" s="2" t="s">
        <v>153</v>
      </c>
      <c r="E42" s="3" t="str">
        <f t="shared" si="0"/>
        <v>MR. CAMERON BROWN</v>
      </c>
      <c r="F42" s="7">
        <v>18937</v>
      </c>
      <c r="G42" s="3">
        <f t="shared" si="1"/>
        <v>1951</v>
      </c>
      <c r="H42" s="2" t="s">
        <v>23</v>
      </c>
      <c r="I42" s="3" t="str">
        <f t="shared" si="2"/>
        <v>Married</v>
      </c>
      <c r="J42" s="2" t="s">
        <v>23</v>
      </c>
      <c r="K42" s="3" t="str">
        <f t="shared" si="3"/>
        <v>Male</v>
      </c>
      <c r="L42" s="2" t="s">
        <v>154</v>
      </c>
      <c r="M42" s="3" t="str">
        <f t="shared" si="4"/>
        <v>cameron45</v>
      </c>
      <c r="N42" s="4">
        <v>30000</v>
      </c>
      <c r="O42" s="6" t="str">
        <f t="shared" si="5"/>
        <v>Poor</v>
      </c>
      <c r="P42" s="2">
        <v>3</v>
      </c>
      <c r="Q42" s="2" t="s">
        <v>86</v>
      </c>
      <c r="R42" s="2" t="s">
        <v>82</v>
      </c>
      <c r="S42" s="2" t="s">
        <v>31</v>
      </c>
    </row>
    <row r="43" spans="1:19" ht="14.25" customHeight="1" x14ac:dyDescent="0.2">
      <c r="A43" s="2">
        <v>13042</v>
      </c>
      <c r="B43" s="2" t="s">
        <v>32</v>
      </c>
      <c r="C43" s="2" t="s">
        <v>155</v>
      </c>
      <c r="D43" s="2" t="s">
        <v>143</v>
      </c>
      <c r="E43" s="3" t="str">
        <f t="shared" si="0"/>
        <v>MRS. ALISON PAL</v>
      </c>
      <c r="F43" s="7">
        <v>18892</v>
      </c>
      <c r="G43" s="3">
        <f t="shared" si="1"/>
        <v>1951</v>
      </c>
      <c r="H43" s="2" t="s">
        <v>23</v>
      </c>
      <c r="I43" s="3" t="str">
        <f t="shared" si="2"/>
        <v>Married</v>
      </c>
      <c r="J43" s="2" t="s">
        <v>35</v>
      </c>
      <c r="K43" s="3" t="str">
        <f t="shared" si="3"/>
        <v>Female</v>
      </c>
      <c r="L43" s="2" t="s">
        <v>156</v>
      </c>
      <c r="M43" s="3" t="str">
        <f t="shared" si="4"/>
        <v>alison12</v>
      </c>
      <c r="N43" s="4">
        <v>30000</v>
      </c>
      <c r="O43" s="6" t="str">
        <f t="shared" si="5"/>
        <v>Poor</v>
      </c>
      <c r="P43" s="2">
        <v>3</v>
      </c>
      <c r="Q43" s="2" t="s">
        <v>86</v>
      </c>
      <c r="R43" s="2" t="s">
        <v>82</v>
      </c>
      <c r="S43" s="2" t="s">
        <v>27</v>
      </c>
    </row>
    <row r="44" spans="1:19" ht="14.25" customHeight="1" x14ac:dyDescent="0.2">
      <c r="A44" s="2">
        <v>13043</v>
      </c>
      <c r="B44" s="2" t="s">
        <v>32</v>
      </c>
      <c r="C44" s="2" t="s">
        <v>157</v>
      </c>
      <c r="D44" s="2" t="s">
        <v>158</v>
      </c>
      <c r="E44" s="3" t="str">
        <f t="shared" si="0"/>
        <v>MRS. BRENDA MADAN</v>
      </c>
      <c r="F44" s="7">
        <v>19109</v>
      </c>
      <c r="G44" s="3">
        <f t="shared" si="1"/>
        <v>1952</v>
      </c>
      <c r="H44" s="2" t="s">
        <v>23</v>
      </c>
      <c r="I44" s="3" t="str">
        <f t="shared" si="2"/>
        <v>Married</v>
      </c>
      <c r="J44" s="2" t="s">
        <v>35</v>
      </c>
      <c r="K44" s="3" t="str">
        <f t="shared" si="3"/>
        <v>Female</v>
      </c>
      <c r="L44" s="2" t="s">
        <v>159</v>
      </c>
      <c r="M44" s="3" t="str">
        <f t="shared" si="4"/>
        <v>brenda11</v>
      </c>
      <c r="N44" s="4">
        <v>30000</v>
      </c>
      <c r="O44" s="6" t="str">
        <f t="shared" si="5"/>
        <v>Poor</v>
      </c>
      <c r="P44" s="2">
        <v>3</v>
      </c>
      <c r="Q44" s="2" t="s">
        <v>86</v>
      </c>
      <c r="R44" s="2" t="s">
        <v>82</v>
      </c>
      <c r="S44" s="2" t="s">
        <v>31</v>
      </c>
    </row>
    <row r="45" spans="1:19" ht="14.25" customHeight="1" x14ac:dyDescent="0.2">
      <c r="A45" s="2">
        <v>13044</v>
      </c>
      <c r="B45" s="2" t="s">
        <v>32</v>
      </c>
      <c r="C45" s="2" t="s">
        <v>160</v>
      </c>
      <c r="D45" s="2" t="s">
        <v>161</v>
      </c>
      <c r="E45" s="3" t="str">
        <f t="shared" si="0"/>
        <v>MRS. KATRINA JAI</v>
      </c>
      <c r="F45" s="7">
        <v>19016</v>
      </c>
      <c r="G45" s="3">
        <f t="shared" si="1"/>
        <v>1952</v>
      </c>
      <c r="H45" s="2" t="s">
        <v>23</v>
      </c>
      <c r="I45" s="3" t="str">
        <f t="shared" si="2"/>
        <v>Married</v>
      </c>
      <c r="J45" s="2" t="s">
        <v>35</v>
      </c>
      <c r="K45" s="3" t="str">
        <f t="shared" si="3"/>
        <v>Female</v>
      </c>
      <c r="L45" s="2" t="s">
        <v>162</v>
      </c>
      <c r="M45" s="3" t="str">
        <f t="shared" si="4"/>
        <v>katrina10</v>
      </c>
      <c r="N45" s="4">
        <v>30000</v>
      </c>
      <c r="O45" s="6" t="str">
        <f t="shared" si="5"/>
        <v>Poor</v>
      </c>
      <c r="P45" s="2">
        <v>3</v>
      </c>
      <c r="Q45" s="2" t="s">
        <v>86</v>
      </c>
      <c r="R45" s="2" t="s">
        <v>82</v>
      </c>
      <c r="S45" s="2" t="s">
        <v>31</v>
      </c>
    </row>
    <row r="46" spans="1:19" ht="14.25" customHeight="1" x14ac:dyDescent="0.2">
      <c r="A46" s="2">
        <v>13045</v>
      </c>
      <c r="B46" s="2" t="s">
        <v>32</v>
      </c>
      <c r="C46" s="2" t="s">
        <v>61</v>
      </c>
      <c r="D46" s="2" t="s">
        <v>163</v>
      </c>
      <c r="E46" s="3" t="str">
        <f t="shared" si="0"/>
        <v>MRS. ANNE GOMEZ</v>
      </c>
      <c r="F46" s="7">
        <v>19311</v>
      </c>
      <c r="G46" s="3">
        <f t="shared" si="1"/>
        <v>1952</v>
      </c>
      <c r="H46" s="2" t="s">
        <v>23</v>
      </c>
      <c r="I46" s="3" t="str">
        <f t="shared" si="2"/>
        <v>Married</v>
      </c>
      <c r="J46" s="2" t="s">
        <v>35</v>
      </c>
      <c r="K46" s="3" t="str">
        <f t="shared" si="3"/>
        <v>Female</v>
      </c>
      <c r="L46" s="2" t="s">
        <v>164</v>
      </c>
      <c r="M46" s="3" t="str">
        <f t="shared" si="4"/>
        <v>anne2</v>
      </c>
      <c r="N46" s="4">
        <v>30000</v>
      </c>
      <c r="O46" s="6" t="str">
        <f t="shared" si="5"/>
        <v>Poor</v>
      </c>
      <c r="P46" s="2">
        <v>3</v>
      </c>
      <c r="Q46" s="2" t="s">
        <v>86</v>
      </c>
      <c r="R46" s="2" t="s">
        <v>82</v>
      </c>
      <c r="S46" s="2" t="s">
        <v>27</v>
      </c>
    </row>
    <row r="47" spans="1:19" ht="14.25" customHeight="1" x14ac:dyDescent="0.2">
      <c r="A47" s="2">
        <v>13046</v>
      </c>
      <c r="B47" s="2" t="s">
        <v>19</v>
      </c>
      <c r="C47" s="2" t="s">
        <v>165</v>
      </c>
      <c r="D47" s="2" t="s">
        <v>166</v>
      </c>
      <c r="E47" s="3" t="str">
        <f t="shared" si="0"/>
        <v>MR. JONATHAN RODRIGUEZ</v>
      </c>
      <c r="F47" s="7">
        <v>19272</v>
      </c>
      <c r="G47" s="3">
        <f t="shared" si="1"/>
        <v>1952</v>
      </c>
      <c r="H47" s="2" t="s">
        <v>23</v>
      </c>
      <c r="I47" s="3" t="str">
        <f t="shared" si="2"/>
        <v>Married</v>
      </c>
      <c r="J47" s="2" t="s">
        <v>23</v>
      </c>
      <c r="K47" s="3" t="str">
        <f t="shared" si="3"/>
        <v>Male</v>
      </c>
      <c r="L47" s="2" t="s">
        <v>167</v>
      </c>
      <c r="M47" s="3" t="str">
        <f t="shared" si="4"/>
        <v>jonathan74</v>
      </c>
      <c r="N47" s="4">
        <v>30000</v>
      </c>
      <c r="O47" s="6" t="str">
        <f t="shared" si="5"/>
        <v>Poor</v>
      </c>
      <c r="P47" s="2">
        <v>3</v>
      </c>
      <c r="Q47" s="2" t="s">
        <v>86</v>
      </c>
      <c r="R47" s="2" t="s">
        <v>82</v>
      </c>
      <c r="S47" s="2" t="s">
        <v>27</v>
      </c>
    </row>
    <row r="48" spans="1:19" ht="14.25" customHeight="1" x14ac:dyDescent="0.2">
      <c r="A48" s="2">
        <v>13047</v>
      </c>
      <c r="B48" s="2" t="s">
        <v>19</v>
      </c>
      <c r="C48" s="2" t="s">
        <v>168</v>
      </c>
      <c r="D48" s="2" t="s">
        <v>169</v>
      </c>
      <c r="E48" s="3" t="str">
        <f t="shared" si="0"/>
        <v>MR. RODNEY VAZQUEZ</v>
      </c>
      <c r="F48" s="7">
        <v>19239</v>
      </c>
      <c r="G48" s="3">
        <f t="shared" si="1"/>
        <v>1952</v>
      </c>
      <c r="H48" s="2" t="s">
        <v>23</v>
      </c>
      <c r="I48" s="3" t="str">
        <f t="shared" si="2"/>
        <v>Married</v>
      </c>
      <c r="J48" s="2" t="s">
        <v>23</v>
      </c>
      <c r="K48" s="3" t="str">
        <f t="shared" si="3"/>
        <v>Male</v>
      </c>
      <c r="L48" s="2" t="s">
        <v>170</v>
      </c>
      <c r="M48" s="3" t="str">
        <f t="shared" si="4"/>
        <v>rodney10</v>
      </c>
      <c r="N48" s="4">
        <v>40000</v>
      </c>
      <c r="O48" s="6" t="str">
        <f t="shared" si="5"/>
        <v>Poor</v>
      </c>
      <c r="P48" s="2">
        <v>2</v>
      </c>
      <c r="Q48" s="2" t="s">
        <v>81</v>
      </c>
      <c r="R48" s="2" t="s">
        <v>94</v>
      </c>
      <c r="S48" s="2" t="s">
        <v>31</v>
      </c>
    </row>
    <row r="49" spans="1:19" ht="14.25" customHeight="1" x14ac:dyDescent="0.2">
      <c r="A49" s="2">
        <v>13048</v>
      </c>
      <c r="B49" s="2" t="s">
        <v>32</v>
      </c>
      <c r="C49" s="2" t="s">
        <v>171</v>
      </c>
      <c r="D49" s="2" t="s">
        <v>172</v>
      </c>
      <c r="E49" s="3" t="str">
        <f t="shared" si="0"/>
        <v>MRS. ALEXIS HAYES</v>
      </c>
      <c r="F49" s="7">
        <v>19171</v>
      </c>
      <c r="G49" s="3">
        <f t="shared" si="1"/>
        <v>1952</v>
      </c>
      <c r="H49" s="2" t="s">
        <v>23</v>
      </c>
      <c r="I49" s="3" t="str">
        <f t="shared" si="2"/>
        <v>Married</v>
      </c>
      <c r="J49" s="2" t="s">
        <v>35</v>
      </c>
      <c r="K49" s="3" t="str">
        <f t="shared" si="3"/>
        <v>Female</v>
      </c>
      <c r="L49" s="2" t="s">
        <v>173</v>
      </c>
      <c r="M49" s="3" t="str">
        <f t="shared" si="4"/>
        <v>alexis46</v>
      </c>
      <c r="N49" s="4">
        <v>40000</v>
      </c>
      <c r="O49" s="6" t="str">
        <f t="shared" si="5"/>
        <v>Poor</v>
      </c>
      <c r="P49" s="2">
        <v>2</v>
      </c>
      <c r="Q49" s="2" t="s">
        <v>81</v>
      </c>
      <c r="R49" s="2" t="s">
        <v>82</v>
      </c>
      <c r="S49" s="2" t="s">
        <v>27</v>
      </c>
    </row>
    <row r="50" spans="1:19" ht="14.25" customHeight="1" x14ac:dyDescent="0.2">
      <c r="A50" s="2">
        <v>13049</v>
      </c>
      <c r="B50" s="2" t="s">
        <v>32</v>
      </c>
      <c r="C50" s="2" t="s">
        <v>174</v>
      </c>
      <c r="D50" s="2" t="s">
        <v>175</v>
      </c>
      <c r="E50" s="3" t="str">
        <f t="shared" si="0"/>
        <v>MRS. AUTUMN WANG</v>
      </c>
      <c r="F50" s="7">
        <v>19546</v>
      </c>
      <c r="G50" s="3">
        <f t="shared" si="1"/>
        <v>1953</v>
      </c>
      <c r="H50" s="2" t="s">
        <v>23</v>
      </c>
      <c r="I50" s="3" t="str">
        <f t="shared" si="2"/>
        <v>Married</v>
      </c>
      <c r="J50" s="2" t="s">
        <v>35</v>
      </c>
      <c r="K50" s="3" t="str">
        <f t="shared" si="3"/>
        <v>Female</v>
      </c>
      <c r="L50" s="2" t="s">
        <v>176</v>
      </c>
      <c r="M50" s="3" t="str">
        <f t="shared" si="4"/>
        <v>autumn1</v>
      </c>
      <c r="N50" s="4">
        <v>40000</v>
      </c>
      <c r="O50" s="6" t="str">
        <f t="shared" si="5"/>
        <v>Poor</v>
      </c>
      <c r="P50" s="2">
        <v>3</v>
      </c>
      <c r="Q50" s="2" t="s">
        <v>81</v>
      </c>
      <c r="R50" s="2" t="s">
        <v>82</v>
      </c>
      <c r="S50" s="2" t="s">
        <v>31</v>
      </c>
    </row>
    <row r="51" spans="1:19" ht="14.25" customHeight="1" x14ac:dyDescent="0.2">
      <c r="A51" s="2">
        <v>13050</v>
      </c>
      <c r="B51" s="2" t="s">
        <v>19</v>
      </c>
      <c r="C51" s="2" t="s">
        <v>177</v>
      </c>
      <c r="D51" s="2" t="s">
        <v>178</v>
      </c>
      <c r="E51" s="3" t="str">
        <f t="shared" si="0"/>
        <v>MR. DENNIS ZENG</v>
      </c>
      <c r="F51" s="7">
        <v>19712</v>
      </c>
      <c r="G51" s="3">
        <f t="shared" si="1"/>
        <v>1953</v>
      </c>
      <c r="H51" s="2" t="s">
        <v>23</v>
      </c>
      <c r="I51" s="3" t="str">
        <f t="shared" si="2"/>
        <v>Married</v>
      </c>
      <c r="J51" s="2" t="s">
        <v>23</v>
      </c>
      <c r="K51" s="3" t="str">
        <f t="shared" si="3"/>
        <v>Male</v>
      </c>
      <c r="L51" s="2" t="s">
        <v>179</v>
      </c>
      <c r="M51" s="3" t="str">
        <f t="shared" si="4"/>
        <v>dennis24</v>
      </c>
      <c r="N51" s="4">
        <v>40000</v>
      </c>
      <c r="O51" s="6" t="str">
        <f t="shared" si="5"/>
        <v>Poor</v>
      </c>
      <c r="P51" s="2">
        <v>3</v>
      </c>
      <c r="Q51" s="2" t="s">
        <v>81</v>
      </c>
      <c r="R51" s="2" t="s">
        <v>82</v>
      </c>
      <c r="S51" s="2" t="s">
        <v>31</v>
      </c>
    </row>
    <row r="52" spans="1:19" ht="14.25" customHeight="1" x14ac:dyDescent="0.2">
      <c r="A52" s="2">
        <v>13051</v>
      </c>
      <c r="B52" s="2" t="s">
        <v>19</v>
      </c>
      <c r="C52" s="2" t="s">
        <v>180</v>
      </c>
      <c r="D52" s="2" t="s">
        <v>181</v>
      </c>
      <c r="E52" s="3" t="str">
        <f t="shared" si="0"/>
        <v>MR. ETHAN JONES</v>
      </c>
      <c r="F52" s="7">
        <v>20055</v>
      </c>
      <c r="G52" s="3">
        <f t="shared" si="1"/>
        <v>1954</v>
      </c>
      <c r="H52" s="2" t="s">
        <v>22</v>
      </c>
      <c r="I52" s="3" t="str">
        <f t="shared" si="2"/>
        <v>Single</v>
      </c>
      <c r="J52" s="2" t="s">
        <v>23</v>
      </c>
      <c r="K52" s="3" t="str">
        <f t="shared" si="3"/>
        <v>Male</v>
      </c>
      <c r="L52" s="2" t="s">
        <v>182</v>
      </c>
      <c r="M52" s="3" t="str">
        <f t="shared" si="4"/>
        <v>ethan33</v>
      </c>
      <c r="N52" s="4">
        <v>80000</v>
      </c>
      <c r="O52" s="6" t="str">
        <f t="shared" si="5"/>
        <v>Average</v>
      </c>
      <c r="P52" s="2">
        <v>2</v>
      </c>
      <c r="Q52" s="2" t="s">
        <v>81</v>
      </c>
      <c r="R52" s="2" t="s">
        <v>82</v>
      </c>
      <c r="S52" s="2" t="s">
        <v>31</v>
      </c>
    </row>
    <row r="53" spans="1:19" ht="14.25" customHeight="1" x14ac:dyDescent="0.2">
      <c r="A53" s="2">
        <v>13052</v>
      </c>
      <c r="B53" s="2" t="s">
        <v>19</v>
      </c>
      <c r="C53" s="2" t="s">
        <v>183</v>
      </c>
      <c r="D53" s="2" t="s">
        <v>184</v>
      </c>
      <c r="E53" s="3" t="str">
        <f t="shared" si="0"/>
        <v>MR. JARED MORRIS</v>
      </c>
      <c r="F53" s="7">
        <v>27709</v>
      </c>
      <c r="G53" s="3">
        <f t="shared" si="1"/>
        <v>1975</v>
      </c>
      <c r="H53" s="2" t="s">
        <v>22</v>
      </c>
      <c r="I53" s="3" t="str">
        <f t="shared" si="2"/>
        <v>Single</v>
      </c>
      <c r="J53" s="2" t="s">
        <v>23</v>
      </c>
      <c r="K53" s="3" t="str">
        <f t="shared" si="3"/>
        <v>Male</v>
      </c>
      <c r="L53" s="2" t="s">
        <v>185</v>
      </c>
      <c r="M53" s="3" t="str">
        <f t="shared" si="4"/>
        <v>jared20</v>
      </c>
      <c r="N53" s="4">
        <v>40000</v>
      </c>
      <c r="O53" s="6" t="str">
        <f t="shared" si="5"/>
        <v>Poor</v>
      </c>
      <c r="P53" s="2">
        <v>0</v>
      </c>
      <c r="Q53" s="2" t="s">
        <v>81</v>
      </c>
      <c r="R53" s="2" t="s">
        <v>82</v>
      </c>
      <c r="S53" s="2" t="s">
        <v>31</v>
      </c>
    </row>
    <row r="54" spans="1:19" ht="14.25" customHeight="1" x14ac:dyDescent="0.2">
      <c r="A54" s="2">
        <v>13053</v>
      </c>
      <c r="B54" s="2" t="s">
        <v>19</v>
      </c>
      <c r="C54" s="2" t="s">
        <v>67</v>
      </c>
      <c r="D54" s="2" t="s">
        <v>186</v>
      </c>
      <c r="E54" s="3" t="str">
        <f t="shared" si="0"/>
        <v>MR. VINCENT LU</v>
      </c>
      <c r="F54" s="7">
        <v>27530</v>
      </c>
      <c r="G54" s="3">
        <f t="shared" si="1"/>
        <v>1975</v>
      </c>
      <c r="H54" s="2" t="s">
        <v>22</v>
      </c>
      <c r="I54" s="3" t="str">
        <f t="shared" si="2"/>
        <v>Single</v>
      </c>
      <c r="J54" s="2" t="s">
        <v>23</v>
      </c>
      <c r="K54" s="3" t="str">
        <f t="shared" si="3"/>
        <v>Male</v>
      </c>
      <c r="L54" s="2" t="s">
        <v>187</v>
      </c>
      <c r="M54" s="3" t="str">
        <f t="shared" si="4"/>
        <v>vincent11</v>
      </c>
      <c r="N54" s="4">
        <v>40000</v>
      </c>
      <c r="O54" s="6" t="str">
        <f t="shared" si="5"/>
        <v>Poor</v>
      </c>
      <c r="P54" s="2">
        <v>0</v>
      </c>
      <c r="Q54" s="2" t="s">
        <v>81</v>
      </c>
      <c r="R54" s="2" t="s">
        <v>82</v>
      </c>
      <c r="S54" s="2" t="s">
        <v>31</v>
      </c>
    </row>
    <row r="55" spans="1:19" ht="14.25" customHeight="1" x14ac:dyDescent="0.2">
      <c r="A55" s="2">
        <v>13054</v>
      </c>
      <c r="B55" s="2" t="s">
        <v>19</v>
      </c>
      <c r="C55" s="2" t="s">
        <v>188</v>
      </c>
      <c r="D55" s="2" t="s">
        <v>50</v>
      </c>
      <c r="E55" s="3" t="str">
        <f t="shared" si="0"/>
        <v>MR. BRYCE WARD</v>
      </c>
      <c r="F55" s="7">
        <v>27654</v>
      </c>
      <c r="G55" s="3">
        <f t="shared" si="1"/>
        <v>1975</v>
      </c>
      <c r="H55" s="2" t="s">
        <v>23</v>
      </c>
      <c r="I55" s="3" t="str">
        <f t="shared" si="2"/>
        <v>Married</v>
      </c>
      <c r="J55" s="2" t="s">
        <v>23</v>
      </c>
      <c r="K55" s="3" t="str">
        <f t="shared" si="3"/>
        <v>Male</v>
      </c>
      <c r="L55" s="2" t="s">
        <v>189</v>
      </c>
      <c r="M55" s="3" t="str">
        <f t="shared" si="4"/>
        <v>bryce11</v>
      </c>
      <c r="N55" s="4">
        <v>40000</v>
      </c>
      <c r="O55" s="6" t="str">
        <f t="shared" si="5"/>
        <v>Poor</v>
      </c>
      <c r="P55" s="2">
        <v>0</v>
      </c>
      <c r="Q55" s="2" t="s">
        <v>81</v>
      </c>
      <c r="R55" s="2" t="s">
        <v>82</v>
      </c>
      <c r="S55" s="2" t="s">
        <v>27</v>
      </c>
    </row>
    <row r="56" spans="1:19" ht="14.25" customHeight="1" x14ac:dyDescent="0.2">
      <c r="A56" s="2">
        <v>13055</v>
      </c>
      <c r="B56" s="2" t="s">
        <v>19</v>
      </c>
      <c r="C56" s="2" t="s">
        <v>190</v>
      </c>
      <c r="D56" s="2" t="s">
        <v>191</v>
      </c>
      <c r="E56" s="3" t="str">
        <f t="shared" si="0"/>
        <v>MR. PATRICK GRAY</v>
      </c>
      <c r="F56" s="7">
        <v>27686</v>
      </c>
      <c r="G56" s="3">
        <f t="shared" si="1"/>
        <v>1975</v>
      </c>
      <c r="H56" s="2" t="s">
        <v>22</v>
      </c>
      <c r="I56" s="3" t="str">
        <f t="shared" si="2"/>
        <v>Single</v>
      </c>
      <c r="J56" s="2" t="s">
        <v>23</v>
      </c>
      <c r="K56" s="3" t="str">
        <f t="shared" si="3"/>
        <v>Male</v>
      </c>
      <c r="L56" s="2" t="s">
        <v>192</v>
      </c>
      <c r="M56" s="3" t="str">
        <f t="shared" si="4"/>
        <v>patrick12</v>
      </c>
      <c r="N56" s="4">
        <v>30000</v>
      </c>
      <c r="O56" s="6" t="str">
        <f t="shared" si="5"/>
        <v>Poor</v>
      </c>
      <c r="P56" s="2">
        <v>0</v>
      </c>
      <c r="Q56" s="2" t="s">
        <v>86</v>
      </c>
      <c r="R56" s="2" t="s">
        <v>82</v>
      </c>
      <c r="S56" s="2" t="s">
        <v>27</v>
      </c>
    </row>
    <row r="57" spans="1:19" ht="14.25" customHeight="1" x14ac:dyDescent="0.2">
      <c r="A57" s="2">
        <v>13056</v>
      </c>
      <c r="B57" s="2" t="s">
        <v>43</v>
      </c>
      <c r="C57" s="2" t="s">
        <v>193</v>
      </c>
      <c r="D57" s="2" t="s">
        <v>194</v>
      </c>
      <c r="E57" s="3" t="str">
        <f t="shared" si="0"/>
        <v>MS. MORGAN BLUE</v>
      </c>
      <c r="F57" s="7">
        <v>27660</v>
      </c>
      <c r="G57" s="3">
        <f t="shared" si="1"/>
        <v>1975</v>
      </c>
      <c r="H57" s="2" t="s">
        <v>22</v>
      </c>
      <c r="I57" s="3" t="str">
        <f t="shared" si="2"/>
        <v>Single</v>
      </c>
      <c r="J57" s="2" t="s">
        <v>35</v>
      </c>
      <c r="K57" s="3" t="str">
        <f t="shared" si="3"/>
        <v>Female</v>
      </c>
      <c r="L57" s="2" t="s">
        <v>195</v>
      </c>
      <c r="M57" s="3" t="str">
        <f t="shared" si="4"/>
        <v>morgan52</v>
      </c>
      <c r="N57" s="4">
        <v>30000</v>
      </c>
      <c r="O57" s="6" t="str">
        <f t="shared" si="5"/>
        <v>Poor</v>
      </c>
      <c r="P57" s="2">
        <v>0</v>
      </c>
      <c r="Q57" s="2" t="s">
        <v>86</v>
      </c>
      <c r="R57" s="2" t="s">
        <v>82</v>
      </c>
      <c r="S57" s="2" t="s">
        <v>27</v>
      </c>
    </row>
    <row r="58" spans="1:19" ht="14.25" customHeight="1" x14ac:dyDescent="0.2">
      <c r="A58" s="2">
        <v>13057</v>
      </c>
      <c r="B58" s="2" t="s">
        <v>43</v>
      </c>
      <c r="C58" s="2" t="s">
        <v>87</v>
      </c>
      <c r="D58" s="2" t="s">
        <v>196</v>
      </c>
      <c r="E58" s="3" t="str">
        <f t="shared" si="0"/>
        <v>MS. DESTINY POWELL</v>
      </c>
      <c r="F58" s="7">
        <v>27566</v>
      </c>
      <c r="G58" s="3">
        <f t="shared" si="1"/>
        <v>1975</v>
      </c>
      <c r="H58" s="2" t="s">
        <v>22</v>
      </c>
      <c r="I58" s="3" t="str">
        <f t="shared" si="2"/>
        <v>Single</v>
      </c>
      <c r="J58" s="2" t="s">
        <v>35</v>
      </c>
      <c r="K58" s="3" t="str">
        <f t="shared" si="3"/>
        <v>Female</v>
      </c>
      <c r="L58" s="2" t="s">
        <v>197</v>
      </c>
      <c r="M58" s="3" t="str">
        <f t="shared" si="4"/>
        <v>destiny57</v>
      </c>
      <c r="N58" s="4">
        <v>30000</v>
      </c>
      <c r="O58" s="6" t="str">
        <f t="shared" si="5"/>
        <v>Poor</v>
      </c>
      <c r="P58" s="2">
        <v>0</v>
      </c>
      <c r="Q58" s="2" t="s">
        <v>86</v>
      </c>
      <c r="R58" s="2" t="s">
        <v>82</v>
      </c>
      <c r="S58" s="2" t="s">
        <v>27</v>
      </c>
    </row>
    <row r="59" spans="1:19" ht="14.25" customHeight="1" x14ac:dyDescent="0.2">
      <c r="A59" s="2">
        <v>13058</v>
      </c>
      <c r="B59" s="2" t="s">
        <v>19</v>
      </c>
      <c r="C59" s="2" t="s">
        <v>198</v>
      </c>
      <c r="D59" s="2" t="s">
        <v>199</v>
      </c>
      <c r="E59" s="3" t="str">
        <f t="shared" si="0"/>
        <v>MR. RAMON HUANG</v>
      </c>
      <c r="F59" s="7">
        <v>27622</v>
      </c>
      <c r="G59" s="3">
        <f t="shared" si="1"/>
        <v>1975</v>
      </c>
      <c r="H59" s="2" t="s">
        <v>23</v>
      </c>
      <c r="I59" s="3" t="str">
        <f t="shared" si="2"/>
        <v>Married</v>
      </c>
      <c r="J59" s="2" t="s">
        <v>23</v>
      </c>
      <c r="K59" s="3" t="str">
        <f t="shared" si="3"/>
        <v>Male</v>
      </c>
      <c r="L59" s="2" t="s">
        <v>200</v>
      </c>
      <c r="M59" s="3" t="str">
        <f t="shared" si="4"/>
        <v>ramon5</v>
      </c>
      <c r="N59" s="4">
        <v>30000</v>
      </c>
      <c r="O59" s="6" t="str">
        <f t="shared" si="5"/>
        <v>Poor</v>
      </c>
      <c r="P59" s="2">
        <v>0</v>
      </c>
      <c r="Q59" s="2" t="s">
        <v>86</v>
      </c>
      <c r="R59" s="2" t="s">
        <v>82</v>
      </c>
      <c r="S59" s="2" t="s">
        <v>27</v>
      </c>
    </row>
    <row r="60" spans="1:19" ht="14.25" customHeight="1" x14ac:dyDescent="0.2">
      <c r="A60" s="2">
        <v>13059</v>
      </c>
      <c r="B60" s="2" t="s">
        <v>19</v>
      </c>
      <c r="C60" s="2" t="s">
        <v>201</v>
      </c>
      <c r="D60" s="2" t="s">
        <v>202</v>
      </c>
      <c r="E60" s="3" t="str">
        <f t="shared" si="0"/>
        <v>MR. KEITH DENG</v>
      </c>
      <c r="F60" s="7">
        <v>27440</v>
      </c>
      <c r="G60" s="3">
        <f t="shared" si="1"/>
        <v>1975</v>
      </c>
      <c r="H60" s="2" t="s">
        <v>23</v>
      </c>
      <c r="I60" s="3" t="str">
        <f t="shared" si="2"/>
        <v>Married</v>
      </c>
      <c r="J60" s="2" t="s">
        <v>23</v>
      </c>
      <c r="K60" s="3" t="str">
        <f t="shared" si="3"/>
        <v>Male</v>
      </c>
      <c r="L60" s="2" t="s">
        <v>203</v>
      </c>
      <c r="M60" s="3" t="str">
        <f t="shared" si="4"/>
        <v>keith3</v>
      </c>
      <c r="N60" s="4">
        <v>30000</v>
      </c>
      <c r="O60" s="6" t="str">
        <f t="shared" si="5"/>
        <v>Poor</v>
      </c>
      <c r="P60" s="2">
        <v>0</v>
      </c>
      <c r="Q60" s="2" t="s">
        <v>86</v>
      </c>
      <c r="R60" s="2" t="s">
        <v>82</v>
      </c>
      <c r="S60" s="2" t="s">
        <v>27</v>
      </c>
    </row>
    <row r="61" spans="1:19" ht="14.25" customHeight="1" x14ac:dyDescent="0.2">
      <c r="A61" s="2">
        <v>13060</v>
      </c>
      <c r="B61" s="2" t="s">
        <v>19</v>
      </c>
      <c r="C61" s="2" t="s">
        <v>204</v>
      </c>
      <c r="D61" s="2" t="s">
        <v>205</v>
      </c>
      <c r="E61" s="3" t="str">
        <f t="shared" si="0"/>
        <v>MR. EUGENE ZHU</v>
      </c>
      <c r="F61" s="7">
        <v>27554</v>
      </c>
      <c r="G61" s="3">
        <f t="shared" si="1"/>
        <v>1975</v>
      </c>
      <c r="H61" s="2" t="s">
        <v>23</v>
      </c>
      <c r="I61" s="3" t="str">
        <f t="shared" si="2"/>
        <v>Married</v>
      </c>
      <c r="J61" s="2" t="s">
        <v>23</v>
      </c>
      <c r="K61" s="3" t="str">
        <f t="shared" si="3"/>
        <v>Male</v>
      </c>
      <c r="L61" s="2" t="s">
        <v>206</v>
      </c>
      <c r="M61" s="3" t="str">
        <f t="shared" si="4"/>
        <v>eugene18</v>
      </c>
      <c r="N61" s="4">
        <v>30000</v>
      </c>
      <c r="O61" s="6" t="str">
        <f t="shared" si="5"/>
        <v>Poor</v>
      </c>
      <c r="P61" s="2">
        <v>0</v>
      </c>
      <c r="Q61" s="2" t="s">
        <v>86</v>
      </c>
      <c r="R61" s="2" t="s">
        <v>82</v>
      </c>
      <c r="S61" s="2" t="s">
        <v>27</v>
      </c>
    </row>
    <row r="62" spans="1:19" ht="14.25" customHeight="1" x14ac:dyDescent="0.2">
      <c r="A62" s="2">
        <v>13061</v>
      </c>
      <c r="B62" s="2" t="s">
        <v>19</v>
      </c>
      <c r="C62" s="2" t="s">
        <v>180</v>
      </c>
      <c r="D62" s="2" t="s">
        <v>207</v>
      </c>
      <c r="E62" s="3" t="str">
        <f t="shared" si="0"/>
        <v>MR. ETHAN ANDERSON</v>
      </c>
      <c r="F62" s="7">
        <v>27181</v>
      </c>
      <c r="G62" s="3">
        <f t="shared" si="1"/>
        <v>1974</v>
      </c>
      <c r="H62" s="2" t="s">
        <v>22</v>
      </c>
      <c r="I62" s="3" t="str">
        <f t="shared" si="2"/>
        <v>Single</v>
      </c>
      <c r="J62" s="2" t="s">
        <v>23</v>
      </c>
      <c r="K62" s="3" t="str">
        <f t="shared" si="3"/>
        <v>Male</v>
      </c>
      <c r="L62" s="2" t="s">
        <v>208</v>
      </c>
      <c r="M62" s="3" t="str">
        <f t="shared" si="4"/>
        <v>ethan43</v>
      </c>
      <c r="N62" s="4">
        <v>40000</v>
      </c>
      <c r="O62" s="6" t="str">
        <f t="shared" si="5"/>
        <v>Poor</v>
      </c>
      <c r="P62" s="2">
        <v>0</v>
      </c>
      <c r="Q62" s="2" t="s">
        <v>86</v>
      </c>
      <c r="R62" s="2" t="s">
        <v>82</v>
      </c>
      <c r="S62" s="2" t="s">
        <v>31</v>
      </c>
    </row>
    <row r="63" spans="1:19" ht="14.25" customHeight="1" x14ac:dyDescent="0.2">
      <c r="A63" s="2">
        <v>13062</v>
      </c>
      <c r="B63" s="2" t="s">
        <v>19</v>
      </c>
      <c r="C63" s="2" t="s">
        <v>209</v>
      </c>
      <c r="D63" s="2" t="s">
        <v>210</v>
      </c>
      <c r="E63" s="3" t="str">
        <f t="shared" si="0"/>
        <v>MR. EDUARDO WILLIAMS</v>
      </c>
      <c r="F63" s="7">
        <v>27219</v>
      </c>
      <c r="G63" s="3">
        <f t="shared" si="1"/>
        <v>1974</v>
      </c>
      <c r="H63" s="2" t="s">
        <v>22</v>
      </c>
      <c r="I63" s="3" t="str">
        <f t="shared" si="2"/>
        <v>Single</v>
      </c>
      <c r="J63" s="2" t="s">
        <v>23</v>
      </c>
      <c r="K63" s="3" t="str">
        <f t="shared" si="3"/>
        <v>Male</v>
      </c>
      <c r="L63" s="2" t="s">
        <v>211</v>
      </c>
      <c r="M63" s="3" t="str">
        <f t="shared" si="4"/>
        <v>eduardo2</v>
      </c>
      <c r="N63" s="4">
        <v>40000</v>
      </c>
      <c r="O63" s="6" t="str">
        <f t="shared" si="5"/>
        <v>Poor</v>
      </c>
      <c r="P63" s="2">
        <v>0</v>
      </c>
      <c r="Q63" s="2" t="s">
        <v>86</v>
      </c>
      <c r="R63" s="2" t="s">
        <v>82</v>
      </c>
      <c r="S63" s="2" t="s">
        <v>27</v>
      </c>
    </row>
    <row r="64" spans="1:19" ht="14.25" customHeight="1" x14ac:dyDescent="0.2">
      <c r="A64" s="2">
        <v>13063</v>
      </c>
      <c r="B64" s="2" t="s">
        <v>43</v>
      </c>
      <c r="C64" s="2" t="s">
        <v>212</v>
      </c>
      <c r="D64" s="2" t="s">
        <v>213</v>
      </c>
      <c r="E64" s="3" t="str">
        <f t="shared" si="0"/>
        <v>MS. JESSICA JOHNSON</v>
      </c>
      <c r="F64" s="7">
        <v>27102</v>
      </c>
      <c r="G64" s="3">
        <f t="shared" si="1"/>
        <v>1974</v>
      </c>
      <c r="H64" s="2" t="s">
        <v>22</v>
      </c>
      <c r="I64" s="3" t="str">
        <f t="shared" si="2"/>
        <v>Single</v>
      </c>
      <c r="J64" s="2" t="s">
        <v>35</v>
      </c>
      <c r="K64" s="3" t="str">
        <f t="shared" si="3"/>
        <v>Female</v>
      </c>
      <c r="L64" s="2" t="s">
        <v>214</v>
      </c>
      <c r="M64" s="3" t="str">
        <f t="shared" si="4"/>
        <v>jessica48</v>
      </c>
      <c r="N64" s="4">
        <v>40000</v>
      </c>
      <c r="O64" s="6" t="str">
        <f t="shared" si="5"/>
        <v>Poor</v>
      </c>
      <c r="P64" s="2">
        <v>0</v>
      </c>
      <c r="Q64" s="2" t="s">
        <v>86</v>
      </c>
      <c r="R64" s="2" t="s">
        <v>82</v>
      </c>
      <c r="S64" s="2" t="s">
        <v>27</v>
      </c>
    </row>
    <row r="65" spans="1:19" ht="14.25" customHeight="1" x14ac:dyDescent="0.2">
      <c r="A65" s="2">
        <v>13064</v>
      </c>
      <c r="B65" s="2" t="s">
        <v>19</v>
      </c>
      <c r="C65" s="2" t="s">
        <v>116</v>
      </c>
      <c r="D65" s="2" t="s">
        <v>73</v>
      </c>
      <c r="E65" s="3" t="str">
        <f t="shared" si="0"/>
        <v>MR. DALTON PARKER</v>
      </c>
      <c r="F65" s="7">
        <v>27105</v>
      </c>
      <c r="G65" s="3">
        <f t="shared" si="1"/>
        <v>1974</v>
      </c>
      <c r="H65" s="2" t="s">
        <v>22</v>
      </c>
      <c r="I65" s="3" t="str">
        <f t="shared" si="2"/>
        <v>Single</v>
      </c>
      <c r="J65" s="2" t="s">
        <v>23</v>
      </c>
      <c r="K65" s="3" t="str">
        <f t="shared" si="3"/>
        <v>Male</v>
      </c>
      <c r="L65" s="2" t="s">
        <v>215</v>
      </c>
      <c r="M65" s="3" t="str">
        <f t="shared" si="4"/>
        <v>dalton42</v>
      </c>
      <c r="N65" s="4">
        <v>40000</v>
      </c>
      <c r="O65" s="6" t="str">
        <f t="shared" si="5"/>
        <v>Poor</v>
      </c>
      <c r="P65" s="2">
        <v>0</v>
      </c>
      <c r="Q65" s="2" t="s">
        <v>86</v>
      </c>
      <c r="R65" s="2" t="s">
        <v>82</v>
      </c>
      <c r="S65" s="2" t="s">
        <v>31</v>
      </c>
    </row>
    <row r="66" spans="1:19" ht="14.25" customHeight="1" x14ac:dyDescent="0.2">
      <c r="A66" s="2">
        <v>13065</v>
      </c>
      <c r="B66" s="2" t="s">
        <v>43</v>
      </c>
      <c r="C66" s="2" t="s">
        <v>193</v>
      </c>
      <c r="D66" s="2" t="s">
        <v>131</v>
      </c>
      <c r="E66" s="3" t="str">
        <f t="shared" si="0"/>
        <v>MS. MORGAN GONZALEZ</v>
      </c>
      <c r="F66" s="7">
        <v>27140</v>
      </c>
      <c r="G66" s="3">
        <f t="shared" si="1"/>
        <v>1974</v>
      </c>
      <c r="H66" s="2" t="s">
        <v>22</v>
      </c>
      <c r="I66" s="3" t="str">
        <f t="shared" si="2"/>
        <v>Single</v>
      </c>
      <c r="J66" s="2" t="s">
        <v>35</v>
      </c>
      <c r="K66" s="3" t="str">
        <f t="shared" si="3"/>
        <v>Female</v>
      </c>
      <c r="L66" s="2" t="s">
        <v>216</v>
      </c>
      <c r="M66" s="3" t="str">
        <f t="shared" si="4"/>
        <v>morgan14</v>
      </c>
      <c r="N66" s="4">
        <v>30000</v>
      </c>
      <c r="O66" s="6" t="str">
        <f t="shared" si="5"/>
        <v>Poor</v>
      </c>
      <c r="P66" s="2">
        <v>0</v>
      </c>
      <c r="Q66" s="2" t="s">
        <v>86</v>
      </c>
      <c r="R66" s="2" t="s">
        <v>82</v>
      </c>
      <c r="S66" s="2" t="s">
        <v>31</v>
      </c>
    </row>
    <row r="67" spans="1:19" ht="14.25" customHeight="1" x14ac:dyDescent="0.2">
      <c r="A67" s="2">
        <v>13066</v>
      </c>
      <c r="B67" s="2" t="s">
        <v>19</v>
      </c>
      <c r="C67" s="2" t="s">
        <v>217</v>
      </c>
      <c r="D67" s="2" t="s">
        <v>218</v>
      </c>
      <c r="E67" s="3" t="str">
        <f t="shared" si="0"/>
        <v>MR. CARSON PERRY</v>
      </c>
      <c r="F67" s="7">
        <v>27297</v>
      </c>
      <c r="G67" s="3">
        <f t="shared" si="1"/>
        <v>1974</v>
      </c>
      <c r="H67" s="2" t="s">
        <v>22</v>
      </c>
      <c r="I67" s="3" t="str">
        <f t="shared" si="2"/>
        <v>Single</v>
      </c>
      <c r="J67" s="2" t="s">
        <v>23</v>
      </c>
      <c r="K67" s="3" t="str">
        <f t="shared" si="3"/>
        <v>Male</v>
      </c>
      <c r="L67" s="2" t="s">
        <v>219</v>
      </c>
      <c r="M67" s="3" t="str">
        <f t="shared" si="4"/>
        <v>carson6</v>
      </c>
      <c r="N67" s="4">
        <v>30000</v>
      </c>
      <c r="O67" s="6" t="str">
        <f t="shared" si="5"/>
        <v>Poor</v>
      </c>
      <c r="P67" s="2">
        <v>0</v>
      </c>
      <c r="Q67" s="2" t="s">
        <v>86</v>
      </c>
      <c r="R67" s="2" t="s">
        <v>82</v>
      </c>
      <c r="S67" s="2" t="s">
        <v>31</v>
      </c>
    </row>
    <row r="68" spans="1:19" ht="14.25" customHeight="1" x14ac:dyDescent="0.2">
      <c r="A68" s="2">
        <v>13067</v>
      </c>
      <c r="B68" s="2" t="s">
        <v>43</v>
      </c>
      <c r="C68" s="2" t="s">
        <v>220</v>
      </c>
      <c r="D68" s="2" t="s">
        <v>221</v>
      </c>
      <c r="E68" s="3" t="str">
        <f t="shared" si="0"/>
        <v>MS. OLIVIA GARCIA</v>
      </c>
      <c r="F68" s="7">
        <v>27358</v>
      </c>
      <c r="G68" s="3">
        <f t="shared" si="1"/>
        <v>1974</v>
      </c>
      <c r="H68" s="2" t="s">
        <v>22</v>
      </c>
      <c r="I68" s="3" t="str">
        <f t="shared" si="2"/>
        <v>Single</v>
      </c>
      <c r="J68" s="2" t="s">
        <v>35</v>
      </c>
      <c r="K68" s="3" t="str">
        <f t="shared" si="3"/>
        <v>Female</v>
      </c>
      <c r="L68" s="2" t="s">
        <v>222</v>
      </c>
      <c r="M68" s="3" t="str">
        <f t="shared" si="4"/>
        <v>olivia15</v>
      </c>
      <c r="N68" s="4">
        <v>30000</v>
      </c>
      <c r="O68" s="6" t="str">
        <f t="shared" si="5"/>
        <v>Poor</v>
      </c>
      <c r="P68" s="2">
        <v>0</v>
      </c>
      <c r="Q68" s="2" t="s">
        <v>86</v>
      </c>
      <c r="R68" s="2" t="s">
        <v>82</v>
      </c>
      <c r="S68" s="2" t="s">
        <v>27</v>
      </c>
    </row>
    <row r="69" spans="1:19" ht="14.25" customHeight="1" x14ac:dyDescent="0.2">
      <c r="A69" s="2">
        <v>13068</v>
      </c>
      <c r="B69" s="2" t="s">
        <v>43</v>
      </c>
      <c r="C69" s="2" t="s">
        <v>223</v>
      </c>
      <c r="D69" s="2" t="s">
        <v>184</v>
      </c>
      <c r="E69" s="3" t="str">
        <f t="shared" si="0"/>
        <v>MS. ALEXANDRIA MORRIS</v>
      </c>
      <c r="F69" s="7">
        <v>27078</v>
      </c>
      <c r="G69" s="3">
        <f t="shared" si="1"/>
        <v>1974</v>
      </c>
      <c r="H69" s="2" t="s">
        <v>22</v>
      </c>
      <c r="I69" s="3" t="str">
        <f t="shared" si="2"/>
        <v>Single</v>
      </c>
      <c r="J69" s="2" t="s">
        <v>35</v>
      </c>
      <c r="K69" s="3" t="str">
        <f t="shared" si="3"/>
        <v>Female</v>
      </c>
      <c r="L69" s="2" t="s">
        <v>224</v>
      </c>
      <c r="M69" s="3" t="str">
        <f t="shared" si="4"/>
        <v>alexandria39</v>
      </c>
      <c r="N69" s="4">
        <v>30000</v>
      </c>
      <c r="O69" s="6" t="str">
        <f t="shared" si="5"/>
        <v>Poor</v>
      </c>
      <c r="P69" s="2">
        <v>0</v>
      </c>
      <c r="Q69" s="2" t="s">
        <v>86</v>
      </c>
      <c r="R69" s="2" t="s">
        <v>82</v>
      </c>
      <c r="S69" s="2" t="s">
        <v>31</v>
      </c>
    </row>
    <row r="70" spans="1:19" ht="14.25" customHeight="1" x14ac:dyDescent="0.2">
      <c r="A70" s="2">
        <v>13069</v>
      </c>
      <c r="B70" s="2" t="s">
        <v>19</v>
      </c>
      <c r="C70" s="2" t="s">
        <v>225</v>
      </c>
      <c r="D70" s="2" t="s">
        <v>226</v>
      </c>
      <c r="E70" s="3" t="str">
        <f t="shared" si="0"/>
        <v>MR. ADAM GREEN</v>
      </c>
      <c r="F70" s="7">
        <v>27260</v>
      </c>
      <c r="G70" s="3">
        <f t="shared" si="1"/>
        <v>1974</v>
      </c>
      <c r="H70" s="2" t="s">
        <v>23</v>
      </c>
      <c r="I70" s="3" t="str">
        <f t="shared" si="2"/>
        <v>Married</v>
      </c>
      <c r="J70" s="2" t="s">
        <v>23</v>
      </c>
      <c r="K70" s="3" t="str">
        <f t="shared" si="3"/>
        <v>Male</v>
      </c>
      <c r="L70" s="2" t="s">
        <v>227</v>
      </c>
      <c r="M70" s="3" t="str">
        <f t="shared" si="4"/>
        <v>adam45</v>
      </c>
      <c r="N70" s="4">
        <v>30000</v>
      </c>
      <c r="O70" s="6" t="str">
        <f t="shared" si="5"/>
        <v>Poor</v>
      </c>
      <c r="P70" s="2">
        <v>0</v>
      </c>
      <c r="Q70" s="2" t="s">
        <v>86</v>
      </c>
      <c r="R70" s="2" t="s">
        <v>82</v>
      </c>
      <c r="S70" s="2" t="s">
        <v>27</v>
      </c>
    </row>
    <row r="71" spans="1:19" ht="14.25" customHeight="1" x14ac:dyDescent="0.2">
      <c r="A71" s="2">
        <v>13070</v>
      </c>
      <c r="B71" s="2" t="s">
        <v>43</v>
      </c>
      <c r="C71" s="2" t="s">
        <v>228</v>
      </c>
      <c r="D71" s="2" t="s">
        <v>70</v>
      </c>
      <c r="E71" s="3" t="str">
        <f t="shared" si="0"/>
        <v>MS. EMMA CLARK</v>
      </c>
      <c r="F71" s="7">
        <v>26955</v>
      </c>
      <c r="G71" s="3">
        <f t="shared" si="1"/>
        <v>1973</v>
      </c>
      <c r="H71" s="2" t="s">
        <v>22</v>
      </c>
      <c r="I71" s="3" t="str">
        <f t="shared" si="2"/>
        <v>Single</v>
      </c>
      <c r="J71" s="2" t="s">
        <v>35</v>
      </c>
      <c r="K71" s="3" t="str">
        <f t="shared" si="3"/>
        <v>Female</v>
      </c>
      <c r="L71" s="2" t="s">
        <v>229</v>
      </c>
      <c r="M71" s="3" t="str">
        <f t="shared" si="4"/>
        <v>emma18</v>
      </c>
      <c r="N71" s="4">
        <v>60000</v>
      </c>
      <c r="O71" s="6" t="str">
        <f t="shared" si="5"/>
        <v>Average</v>
      </c>
      <c r="P71" s="2">
        <v>0</v>
      </c>
      <c r="Q71" s="2" t="s">
        <v>81</v>
      </c>
      <c r="R71" s="2" t="s">
        <v>82</v>
      </c>
      <c r="S71" s="2" t="s">
        <v>27</v>
      </c>
    </row>
    <row r="72" spans="1:19" ht="14.25" customHeight="1" x14ac:dyDescent="0.2">
      <c r="A72" s="2">
        <v>13071</v>
      </c>
      <c r="B72" s="2" t="s">
        <v>19</v>
      </c>
      <c r="C72" s="2" t="s">
        <v>230</v>
      </c>
      <c r="D72" s="2" t="s">
        <v>231</v>
      </c>
      <c r="E72" s="3" t="str">
        <f t="shared" si="0"/>
        <v>MR. THOMAS WALKER</v>
      </c>
      <c r="F72" s="7">
        <v>26795</v>
      </c>
      <c r="G72" s="3">
        <f t="shared" si="1"/>
        <v>1973</v>
      </c>
      <c r="H72" s="2" t="s">
        <v>23</v>
      </c>
      <c r="I72" s="3" t="str">
        <f t="shared" si="2"/>
        <v>Married</v>
      </c>
      <c r="J72" s="2" t="s">
        <v>23</v>
      </c>
      <c r="K72" s="3" t="str">
        <f t="shared" si="3"/>
        <v>Male</v>
      </c>
      <c r="L72" s="2" t="s">
        <v>232</v>
      </c>
      <c r="M72" s="3" t="str">
        <f t="shared" si="4"/>
        <v>thomas82</v>
      </c>
      <c r="N72" s="4">
        <v>60000</v>
      </c>
      <c r="O72" s="6" t="str">
        <f t="shared" si="5"/>
        <v>Average</v>
      </c>
      <c r="P72" s="2">
        <v>0</v>
      </c>
      <c r="Q72" s="2" t="s">
        <v>81</v>
      </c>
      <c r="R72" s="2" t="s">
        <v>82</v>
      </c>
      <c r="S72" s="2" t="s">
        <v>27</v>
      </c>
    </row>
    <row r="73" spans="1:19" ht="14.25" customHeight="1" x14ac:dyDescent="0.2">
      <c r="A73" s="2">
        <v>13072</v>
      </c>
      <c r="B73" s="2" t="s">
        <v>43</v>
      </c>
      <c r="C73" s="2" t="s">
        <v>228</v>
      </c>
      <c r="D73" s="2" t="s">
        <v>233</v>
      </c>
      <c r="E73" s="3" t="str">
        <f t="shared" si="0"/>
        <v>MS. EMMA ROGERS</v>
      </c>
      <c r="F73" s="7">
        <v>26970</v>
      </c>
      <c r="G73" s="3">
        <f t="shared" si="1"/>
        <v>1973</v>
      </c>
      <c r="H73" s="2" t="s">
        <v>22</v>
      </c>
      <c r="I73" s="3" t="str">
        <f t="shared" si="2"/>
        <v>Single</v>
      </c>
      <c r="J73" s="2" t="s">
        <v>35</v>
      </c>
      <c r="K73" s="3" t="str">
        <f t="shared" si="3"/>
        <v>Female</v>
      </c>
      <c r="L73" s="2" t="s">
        <v>234</v>
      </c>
      <c r="M73" s="3" t="str">
        <f t="shared" si="4"/>
        <v>emma27</v>
      </c>
      <c r="N73" s="4">
        <v>70000</v>
      </c>
      <c r="O73" s="6" t="str">
        <f t="shared" si="5"/>
        <v>Average</v>
      </c>
      <c r="P73" s="2">
        <v>0</v>
      </c>
      <c r="Q73" s="2" t="s">
        <v>81</v>
      </c>
      <c r="R73" s="2" t="s">
        <v>48</v>
      </c>
      <c r="S73" s="2" t="s">
        <v>27</v>
      </c>
    </row>
    <row r="74" spans="1:19" ht="14.25" customHeight="1" x14ac:dyDescent="0.2">
      <c r="A74" s="2">
        <v>13073</v>
      </c>
      <c r="B74" s="2" t="s">
        <v>43</v>
      </c>
      <c r="C74" s="2" t="s">
        <v>235</v>
      </c>
      <c r="D74" s="2" t="s">
        <v>123</v>
      </c>
      <c r="E74" s="3" t="str">
        <f t="shared" si="0"/>
        <v>MS. SYDNEY LOPEZ</v>
      </c>
      <c r="F74" s="7">
        <v>27771</v>
      </c>
      <c r="G74" s="3">
        <f t="shared" si="1"/>
        <v>1976</v>
      </c>
      <c r="H74" s="2" t="s">
        <v>23</v>
      </c>
      <c r="I74" s="3" t="str">
        <f t="shared" si="2"/>
        <v>Married</v>
      </c>
      <c r="J74" s="2" t="s">
        <v>35</v>
      </c>
      <c r="K74" s="3" t="str">
        <f t="shared" si="3"/>
        <v>Female</v>
      </c>
      <c r="L74" s="2" t="s">
        <v>236</v>
      </c>
      <c r="M74" s="3" t="str">
        <f t="shared" si="4"/>
        <v>sydney62</v>
      </c>
      <c r="N74" s="4">
        <v>60000</v>
      </c>
      <c r="O74" s="6" t="str">
        <f t="shared" si="5"/>
        <v>Average</v>
      </c>
      <c r="P74" s="2">
        <v>0</v>
      </c>
      <c r="Q74" s="2" t="s">
        <v>81</v>
      </c>
      <c r="R74" s="2" t="s">
        <v>48</v>
      </c>
      <c r="S74" s="2" t="s">
        <v>27</v>
      </c>
    </row>
    <row r="75" spans="1:19" ht="14.25" customHeight="1" x14ac:dyDescent="0.2">
      <c r="A75" s="2">
        <v>13074</v>
      </c>
      <c r="B75" s="2" t="s">
        <v>43</v>
      </c>
      <c r="C75" s="2" t="s">
        <v>237</v>
      </c>
      <c r="D75" s="2" t="s">
        <v>238</v>
      </c>
      <c r="E75" s="3" t="str">
        <f t="shared" si="0"/>
        <v>MS. GRACE HUGHES</v>
      </c>
      <c r="F75" s="7">
        <v>28015</v>
      </c>
      <c r="G75" s="3">
        <f t="shared" si="1"/>
        <v>1976</v>
      </c>
      <c r="H75" s="2" t="s">
        <v>23</v>
      </c>
      <c r="I75" s="3" t="str">
        <f t="shared" si="2"/>
        <v>Married</v>
      </c>
      <c r="J75" s="2" t="s">
        <v>35</v>
      </c>
      <c r="K75" s="3" t="str">
        <f t="shared" si="3"/>
        <v>Female</v>
      </c>
      <c r="L75" s="2" t="s">
        <v>239</v>
      </c>
      <c r="M75" s="3" t="str">
        <f t="shared" si="4"/>
        <v>grace59</v>
      </c>
      <c r="N75" s="4">
        <v>60000</v>
      </c>
      <c r="O75" s="6" t="str">
        <f t="shared" si="5"/>
        <v>Average</v>
      </c>
      <c r="P75" s="2">
        <v>0</v>
      </c>
      <c r="Q75" s="2" t="s">
        <v>81</v>
      </c>
      <c r="R75" s="2" t="s">
        <v>48</v>
      </c>
      <c r="S75" s="2" t="s">
        <v>27</v>
      </c>
    </row>
    <row r="76" spans="1:19" ht="14.25" customHeight="1" x14ac:dyDescent="0.2">
      <c r="A76" s="2">
        <v>13075</v>
      </c>
      <c r="B76" s="2" t="s">
        <v>19</v>
      </c>
      <c r="C76" s="2" t="s">
        <v>240</v>
      </c>
      <c r="D76" s="2" t="s">
        <v>241</v>
      </c>
      <c r="E76" s="3" t="str">
        <f t="shared" si="0"/>
        <v>MR. KELVIN LIN</v>
      </c>
      <c r="F76" s="7">
        <v>20190</v>
      </c>
      <c r="G76" s="3">
        <f t="shared" si="1"/>
        <v>1955</v>
      </c>
      <c r="H76" s="2" t="s">
        <v>23</v>
      </c>
      <c r="I76" s="3" t="str">
        <f t="shared" si="2"/>
        <v>Married</v>
      </c>
      <c r="J76" s="2" t="s">
        <v>23</v>
      </c>
      <c r="K76" s="3" t="str">
        <f t="shared" si="3"/>
        <v>Male</v>
      </c>
      <c r="L76" s="2" t="s">
        <v>242</v>
      </c>
      <c r="M76" s="3" t="str">
        <f t="shared" si="4"/>
        <v>kelvin27</v>
      </c>
      <c r="N76" s="4">
        <v>80000</v>
      </c>
      <c r="O76" s="6" t="str">
        <f t="shared" si="5"/>
        <v>Average</v>
      </c>
      <c r="P76" s="2">
        <v>2</v>
      </c>
      <c r="Q76" s="2" t="s">
        <v>86</v>
      </c>
      <c r="R76" s="2" t="s">
        <v>82</v>
      </c>
      <c r="S76" s="2" t="s">
        <v>31</v>
      </c>
    </row>
    <row r="77" spans="1:19" ht="14.25" customHeight="1" x14ac:dyDescent="0.2">
      <c r="A77" s="2">
        <v>13076</v>
      </c>
      <c r="B77" s="2" t="s">
        <v>19</v>
      </c>
      <c r="C77" s="2" t="s">
        <v>243</v>
      </c>
      <c r="D77" s="2" t="s">
        <v>244</v>
      </c>
      <c r="E77" s="3" t="str">
        <f t="shared" si="0"/>
        <v>MR. CRAIG MUNOZ</v>
      </c>
      <c r="F77" s="7">
        <v>20151</v>
      </c>
      <c r="G77" s="3">
        <f t="shared" si="1"/>
        <v>1955</v>
      </c>
      <c r="H77" s="2" t="s">
        <v>22</v>
      </c>
      <c r="I77" s="3" t="str">
        <f t="shared" si="2"/>
        <v>Single</v>
      </c>
      <c r="J77" s="2" t="s">
        <v>23</v>
      </c>
      <c r="K77" s="3" t="str">
        <f t="shared" si="3"/>
        <v>Male</v>
      </c>
      <c r="L77" s="2" t="s">
        <v>245</v>
      </c>
      <c r="M77" s="3" t="str">
        <f t="shared" si="4"/>
        <v>craig8</v>
      </c>
      <c r="N77" s="4">
        <v>80000</v>
      </c>
      <c r="O77" s="6" t="str">
        <f t="shared" si="5"/>
        <v>Average</v>
      </c>
      <c r="P77" s="2">
        <v>2</v>
      </c>
      <c r="Q77" s="2" t="s">
        <v>86</v>
      </c>
      <c r="R77" s="2" t="s">
        <v>82</v>
      </c>
      <c r="S77" s="2" t="s">
        <v>31</v>
      </c>
    </row>
    <row r="78" spans="1:19" ht="14.25" customHeight="1" x14ac:dyDescent="0.2">
      <c r="A78" s="2">
        <v>13077</v>
      </c>
      <c r="B78" s="2" t="s">
        <v>19</v>
      </c>
      <c r="C78" s="2" t="s">
        <v>246</v>
      </c>
      <c r="D78" s="2" t="s">
        <v>247</v>
      </c>
      <c r="E78" s="3" t="str">
        <f t="shared" si="0"/>
        <v>MR. ALEJANDRO GOEL</v>
      </c>
      <c r="F78" s="7">
        <v>20599</v>
      </c>
      <c r="G78" s="3">
        <f t="shared" si="1"/>
        <v>1956</v>
      </c>
      <c r="H78" s="2" t="s">
        <v>22</v>
      </c>
      <c r="I78" s="3" t="str">
        <f t="shared" si="2"/>
        <v>Single</v>
      </c>
      <c r="J78" s="2" t="s">
        <v>23</v>
      </c>
      <c r="K78" s="3" t="str">
        <f t="shared" si="3"/>
        <v>Male</v>
      </c>
      <c r="L78" s="2" t="s">
        <v>248</v>
      </c>
      <c r="M78" s="3" t="str">
        <f t="shared" si="4"/>
        <v>alejandro44</v>
      </c>
      <c r="N78" s="4">
        <v>70000</v>
      </c>
      <c r="O78" s="6" t="str">
        <f t="shared" si="5"/>
        <v>Average</v>
      </c>
      <c r="P78" s="2">
        <v>2</v>
      </c>
      <c r="Q78" s="2" t="s">
        <v>86</v>
      </c>
      <c r="R78" s="2" t="s">
        <v>82</v>
      </c>
      <c r="S78" s="2" t="s">
        <v>31</v>
      </c>
    </row>
    <row r="79" spans="1:19" ht="14.25" customHeight="1" x14ac:dyDescent="0.2">
      <c r="A79" s="2">
        <v>13078</v>
      </c>
      <c r="B79" s="2" t="s">
        <v>32</v>
      </c>
      <c r="C79" s="2" t="s">
        <v>249</v>
      </c>
      <c r="D79" s="2" t="s">
        <v>250</v>
      </c>
      <c r="E79" s="3" t="str">
        <f t="shared" si="0"/>
        <v>MRS. MICHELE CHANDE</v>
      </c>
      <c r="F79" s="7">
        <v>20476</v>
      </c>
      <c r="G79" s="3">
        <f t="shared" si="1"/>
        <v>1956</v>
      </c>
      <c r="H79" s="2" t="s">
        <v>22</v>
      </c>
      <c r="I79" s="3" t="str">
        <f t="shared" si="2"/>
        <v>Single</v>
      </c>
      <c r="J79" s="2" t="s">
        <v>35</v>
      </c>
      <c r="K79" s="3" t="str">
        <f t="shared" si="3"/>
        <v>Female</v>
      </c>
      <c r="L79" s="2" t="s">
        <v>251</v>
      </c>
      <c r="M79" s="3" t="str">
        <f t="shared" si="4"/>
        <v>michele15</v>
      </c>
      <c r="N79" s="4">
        <v>70000</v>
      </c>
      <c r="O79" s="6" t="str">
        <f t="shared" si="5"/>
        <v>Average</v>
      </c>
      <c r="P79" s="2">
        <v>2</v>
      </c>
      <c r="Q79" s="2" t="s">
        <v>86</v>
      </c>
      <c r="R79" s="2" t="s">
        <v>82</v>
      </c>
      <c r="S79" s="2" t="s">
        <v>27</v>
      </c>
    </row>
    <row r="80" spans="1:19" ht="14.25" customHeight="1" x14ac:dyDescent="0.2">
      <c r="A80" s="2">
        <v>13079</v>
      </c>
      <c r="B80" s="2" t="s">
        <v>19</v>
      </c>
      <c r="C80" s="2" t="s">
        <v>252</v>
      </c>
      <c r="D80" s="2" t="s">
        <v>253</v>
      </c>
      <c r="E80" s="3" t="str">
        <f t="shared" si="0"/>
        <v>MR. EDWIN BHAT</v>
      </c>
      <c r="F80" s="7">
        <v>20877</v>
      </c>
      <c r="G80" s="3">
        <f t="shared" si="1"/>
        <v>1957</v>
      </c>
      <c r="H80" s="2" t="s">
        <v>22</v>
      </c>
      <c r="I80" s="3" t="str">
        <f t="shared" si="2"/>
        <v>Single</v>
      </c>
      <c r="J80" s="2" t="s">
        <v>23</v>
      </c>
      <c r="K80" s="3" t="str">
        <f t="shared" si="3"/>
        <v>Male</v>
      </c>
      <c r="L80" s="2" t="s">
        <v>254</v>
      </c>
      <c r="M80" s="3" t="str">
        <f t="shared" si="4"/>
        <v>edwin43</v>
      </c>
      <c r="N80" s="4">
        <v>80000</v>
      </c>
      <c r="O80" s="6" t="str">
        <f t="shared" si="5"/>
        <v>Average</v>
      </c>
      <c r="P80" s="2">
        <v>2</v>
      </c>
      <c r="Q80" s="2" t="s">
        <v>86</v>
      </c>
      <c r="R80" s="2" t="s">
        <v>48</v>
      </c>
      <c r="S80" s="2" t="s">
        <v>31</v>
      </c>
    </row>
    <row r="81" spans="1:19" ht="14.25" customHeight="1" x14ac:dyDescent="0.2">
      <c r="A81" s="2">
        <v>13080</v>
      </c>
      <c r="B81" s="2" t="s">
        <v>32</v>
      </c>
      <c r="C81" s="2" t="s">
        <v>255</v>
      </c>
      <c r="D81" s="2" t="s">
        <v>256</v>
      </c>
      <c r="E81" s="3" t="str">
        <f t="shared" si="0"/>
        <v>MRS. DENISE MEHTA</v>
      </c>
      <c r="F81" s="7">
        <v>20958</v>
      </c>
      <c r="G81" s="3">
        <f t="shared" si="1"/>
        <v>1957</v>
      </c>
      <c r="H81" s="2" t="s">
        <v>22</v>
      </c>
      <c r="I81" s="3" t="str">
        <f t="shared" si="2"/>
        <v>Single</v>
      </c>
      <c r="J81" s="2" t="s">
        <v>35</v>
      </c>
      <c r="K81" s="3" t="str">
        <f t="shared" si="3"/>
        <v>Female</v>
      </c>
      <c r="L81" s="2" t="s">
        <v>257</v>
      </c>
      <c r="M81" s="3" t="str">
        <f t="shared" si="4"/>
        <v>denise15</v>
      </c>
      <c r="N81" s="4">
        <v>80000</v>
      </c>
      <c r="O81" s="6" t="str">
        <f t="shared" si="5"/>
        <v>Average</v>
      </c>
      <c r="P81" s="2">
        <v>2</v>
      </c>
      <c r="Q81" s="2" t="s">
        <v>86</v>
      </c>
      <c r="R81" s="2" t="s">
        <v>48</v>
      </c>
      <c r="S81" s="2" t="s">
        <v>31</v>
      </c>
    </row>
    <row r="82" spans="1:19" ht="14.25" customHeight="1" x14ac:dyDescent="0.2">
      <c r="A82" s="2">
        <v>13081</v>
      </c>
      <c r="B82" s="2" t="s">
        <v>32</v>
      </c>
      <c r="C82" s="2" t="s">
        <v>258</v>
      </c>
      <c r="D82" s="2" t="s">
        <v>259</v>
      </c>
      <c r="E82" s="3" t="str">
        <f t="shared" si="0"/>
        <v>MRS. KRISTA RUIZ</v>
      </c>
      <c r="F82" s="7">
        <v>20903</v>
      </c>
      <c r="G82" s="3">
        <f t="shared" si="1"/>
        <v>1957</v>
      </c>
      <c r="H82" s="2" t="s">
        <v>22</v>
      </c>
      <c r="I82" s="3" t="str">
        <f t="shared" si="2"/>
        <v>Single</v>
      </c>
      <c r="J82" s="2" t="s">
        <v>35</v>
      </c>
      <c r="K82" s="3" t="str">
        <f t="shared" si="3"/>
        <v>Female</v>
      </c>
      <c r="L82" s="2" t="s">
        <v>260</v>
      </c>
      <c r="M82" s="3" t="str">
        <f t="shared" si="4"/>
        <v>krista2</v>
      </c>
      <c r="N82" s="4">
        <v>80000</v>
      </c>
      <c r="O82" s="6" t="str">
        <f t="shared" si="5"/>
        <v>Average</v>
      </c>
      <c r="P82" s="2">
        <v>2</v>
      </c>
      <c r="Q82" s="2" t="s">
        <v>86</v>
      </c>
      <c r="R82" s="2" t="s">
        <v>48</v>
      </c>
      <c r="S82" s="2" t="s">
        <v>31</v>
      </c>
    </row>
    <row r="83" spans="1:19" ht="14.25" customHeight="1" x14ac:dyDescent="0.2">
      <c r="A83" s="2">
        <v>13082</v>
      </c>
      <c r="B83" s="2" t="s">
        <v>19</v>
      </c>
      <c r="C83" s="2" t="s">
        <v>261</v>
      </c>
      <c r="D83" s="2" t="s">
        <v>262</v>
      </c>
      <c r="E83" s="3" t="str">
        <f t="shared" si="0"/>
        <v>MR. JUAN PETERSON</v>
      </c>
      <c r="F83" s="7">
        <v>21240</v>
      </c>
      <c r="G83" s="3">
        <f t="shared" si="1"/>
        <v>1958</v>
      </c>
      <c r="H83" s="2" t="s">
        <v>22</v>
      </c>
      <c r="I83" s="3" t="str">
        <f t="shared" si="2"/>
        <v>Single</v>
      </c>
      <c r="J83" s="2" t="s">
        <v>23</v>
      </c>
      <c r="K83" s="3" t="str">
        <f t="shared" si="3"/>
        <v>Male</v>
      </c>
      <c r="L83" s="2" t="s">
        <v>263</v>
      </c>
      <c r="M83" s="3" t="str">
        <f t="shared" si="4"/>
        <v>juan15</v>
      </c>
      <c r="N83" s="4">
        <v>130000</v>
      </c>
      <c r="O83" s="6" t="str">
        <f t="shared" si="5"/>
        <v>Rich</v>
      </c>
      <c r="P83" s="2">
        <v>0</v>
      </c>
      <c r="Q83" s="2" t="s">
        <v>25</v>
      </c>
      <c r="R83" s="2" t="s">
        <v>26</v>
      </c>
      <c r="S83" s="2" t="s">
        <v>27</v>
      </c>
    </row>
    <row r="84" spans="1:19" ht="14.25" customHeight="1" x14ac:dyDescent="0.2">
      <c r="A84" s="2">
        <v>13083</v>
      </c>
      <c r="B84" s="2" t="s">
        <v>43</v>
      </c>
      <c r="C84" s="2" t="s">
        <v>264</v>
      </c>
      <c r="D84" s="2" t="s">
        <v>265</v>
      </c>
      <c r="E84" s="3" t="str">
        <f t="shared" si="0"/>
        <v>MS. JORDYN BUTLER</v>
      </c>
      <c r="F84" s="7">
        <v>26721</v>
      </c>
      <c r="G84" s="3">
        <f t="shared" si="1"/>
        <v>1973</v>
      </c>
      <c r="H84" s="2" t="s">
        <v>22</v>
      </c>
      <c r="I84" s="3" t="str">
        <f t="shared" si="2"/>
        <v>Single</v>
      </c>
      <c r="J84" s="2" t="s">
        <v>35</v>
      </c>
      <c r="K84" s="3" t="str">
        <f t="shared" si="3"/>
        <v>Female</v>
      </c>
      <c r="L84" s="2" t="s">
        <v>266</v>
      </c>
      <c r="M84" s="3" t="str">
        <f t="shared" si="4"/>
        <v>jordyn14</v>
      </c>
      <c r="N84" s="4">
        <v>70000</v>
      </c>
      <c r="O84" s="6" t="str">
        <f t="shared" si="5"/>
        <v>Average</v>
      </c>
      <c r="P84" s="2">
        <v>0</v>
      </c>
      <c r="Q84" s="2" t="s">
        <v>81</v>
      </c>
      <c r="R84" s="2" t="s">
        <v>48</v>
      </c>
      <c r="S84" s="2" t="s">
        <v>27</v>
      </c>
    </row>
    <row r="85" spans="1:19" ht="14.25" customHeight="1" x14ac:dyDescent="0.2">
      <c r="A85" s="2">
        <v>13084</v>
      </c>
      <c r="B85" s="2" t="s">
        <v>19</v>
      </c>
      <c r="C85" s="2" t="s">
        <v>267</v>
      </c>
      <c r="D85" s="2" t="s">
        <v>238</v>
      </c>
      <c r="E85" s="3" t="str">
        <f t="shared" si="0"/>
        <v>MR. LUIS HUGHES</v>
      </c>
      <c r="F85" s="7">
        <v>27316</v>
      </c>
      <c r="G85" s="3">
        <f t="shared" si="1"/>
        <v>1974</v>
      </c>
      <c r="H85" s="2" t="s">
        <v>22</v>
      </c>
      <c r="I85" s="3" t="str">
        <f t="shared" si="2"/>
        <v>Single</v>
      </c>
      <c r="J85" s="2" t="s">
        <v>23</v>
      </c>
      <c r="K85" s="3" t="str">
        <f t="shared" si="3"/>
        <v>Male</v>
      </c>
      <c r="L85" s="2" t="s">
        <v>268</v>
      </c>
      <c r="M85" s="3" t="str">
        <f t="shared" si="4"/>
        <v>luis10</v>
      </c>
      <c r="N85" s="4">
        <v>30000</v>
      </c>
      <c r="O85" s="6" t="str">
        <f t="shared" si="5"/>
        <v>Poor</v>
      </c>
      <c r="P85" s="2">
        <v>0</v>
      </c>
      <c r="Q85" s="2" t="s">
        <v>86</v>
      </c>
      <c r="R85" s="2" t="s">
        <v>48</v>
      </c>
      <c r="S85" s="2" t="s">
        <v>31</v>
      </c>
    </row>
    <row r="86" spans="1:19" ht="14.25" customHeight="1" x14ac:dyDescent="0.2">
      <c r="A86" s="2">
        <v>13085</v>
      </c>
      <c r="B86" s="2" t="s">
        <v>19</v>
      </c>
      <c r="C86" s="2" t="s">
        <v>269</v>
      </c>
      <c r="D86" s="2" t="s">
        <v>270</v>
      </c>
      <c r="E86" s="3" t="str">
        <f t="shared" si="0"/>
        <v>MR. DANIEL HARRIS</v>
      </c>
      <c r="F86" s="7">
        <v>27107</v>
      </c>
      <c r="G86" s="3">
        <f t="shared" si="1"/>
        <v>1974</v>
      </c>
      <c r="H86" s="2" t="s">
        <v>22</v>
      </c>
      <c r="I86" s="3" t="str">
        <f t="shared" si="2"/>
        <v>Single</v>
      </c>
      <c r="J86" s="2" t="s">
        <v>23</v>
      </c>
      <c r="K86" s="3" t="str">
        <f t="shared" si="3"/>
        <v>Male</v>
      </c>
      <c r="L86" s="2" t="s">
        <v>271</v>
      </c>
      <c r="M86" s="3" t="str">
        <f t="shared" si="4"/>
        <v>daniel10</v>
      </c>
      <c r="N86" s="4">
        <v>30000</v>
      </c>
      <c r="O86" s="6" t="str">
        <f t="shared" si="5"/>
        <v>Poor</v>
      </c>
      <c r="P86" s="2">
        <v>0</v>
      </c>
      <c r="Q86" s="2" t="s">
        <v>93</v>
      </c>
      <c r="R86" s="2" t="s">
        <v>82</v>
      </c>
      <c r="S86" s="2" t="s">
        <v>27</v>
      </c>
    </row>
    <row r="87" spans="1:19" ht="14.25" customHeight="1" x14ac:dyDescent="0.2">
      <c r="A87" s="2">
        <v>13086</v>
      </c>
      <c r="B87" s="2" t="s">
        <v>19</v>
      </c>
      <c r="C87" s="2" t="s">
        <v>272</v>
      </c>
      <c r="D87" s="2" t="s">
        <v>273</v>
      </c>
      <c r="E87" s="3" t="str">
        <f t="shared" si="0"/>
        <v>MR. BLAKE NELSON</v>
      </c>
      <c r="F87" s="7">
        <v>27169</v>
      </c>
      <c r="G87" s="3">
        <f t="shared" si="1"/>
        <v>1974</v>
      </c>
      <c r="H87" s="2" t="s">
        <v>22</v>
      </c>
      <c r="I87" s="3" t="str">
        <f t="shared" si="2"/>
        <v>Single</v>
      </c>
      <c r="J87" s="2" t="s">
        <v>23</v>
      </c>
      <c r="K87" s="3" t="str">
        <f t="shared" si="3"/>
        <v>Male</v>
      </c>
      <c r="L87" s="2" t="s">
        <v>274</v>
      </c>
      <c r="M87" s="3" t="str">
        <f t="shared" si="4"/>
        <v>blake36</v>
      </c>
      <c r="N87" s="4">
        <v>60000</v>
      </c>
      <c r="O87" s="6" t="str">
        <f t="shared" si="5"/>
        <v>Average</v>
      </c>
      <c r="P87" s="2">
        <v>0</v>
      </c>
      <c r="Q87" s="2" t="s">
        <v>81</v>
      </c>
      <c r="R87" s="2" t="s">
        <v>48</v>
      </c>
      <c r="S87" s="2" t="s">
        <v>27</v>
      </c>
    </row>
    <row r="88" spans="1:19" ht="14.25" customHeight="1" x14ac:dyDescent="0.2">
      <c r="A88" s="2">
        <v>13087</v>
      </c>
      <c r="B88" s="2" t="s">
        <v>19</v>
      </c>
      <c r="C88" s="2" t="s">
        <v>113</v>
      </c>
      <c r="D88" s="2" t="s">
        <v>275</v>
      </c>
      <c r="E88" s="3" t="str">
        <f t="shared" si="0"/>
        <v>MR. JEREMY COLLINS</v>
      </c>
      <c r="F88" s="7">
        <v>27341</v>
      </c>
      <c r="G88" s="3">
        <f t="shared" si="1"/>
        <v>1974</v>
      </c>
      <c r="H88" s="2" t="s">
        <v>22</v>
      </c>
      <c r="I88" s="3" t="str">
        <f t="shared" si="2"/>
        <v>Single</v>
      </c>
      <c r="J88" s="2" t="s">
        <v>23</v>
      </c>
      <c r="K88" s="3" t="str">
        <f t="shared" si="3"/>
        <v>Male</v>
      </c>
      <c r="L88" s="2" t="s">
        <v>276</v>
      </c>
      <c r="M88" s="3" t="str">
        <f t="shared" si="4"/>
        <v>jeremy19</v>
      </c>
      <c r="N88" s="4">
        <v>60000</v>
      </c>
      <c r="O88" s="6" t="str">
        <f t="shared" si="5"/>
        <v>Average</v>
      </c>
      <c r="P88" s="2">
        <v>0</v>
      </c>
      <c r="Q88" s="2" t="s">
        <v>81</v>
      </c>
      <c r="R88" s="2" t="s">
        <v>48</v>
      </c>
      <c r="S88" s="2" t="s">
        <v>27</v>
      </c>
    </row>
    <row r="89" spans="1:19" ht="14.25" customHeight="1" x14ac:dyDescent="0.2">
      <c r="A89" s="2">
        <v>13088</v>
      </c>
      <c r="B89" s="2" t="s">
        <v>43</v>
      </c>
      <c r="C89" s="2" t="s">
        <v>277</v>
      </c>
      <c r="D89" s="2" t="s">
        <v>196</v>
      </c>
      <c r="E89" s="3" t="str">
        <f t="shared" si="0"/>
        <v>MS. MEGAN POWELL</v>
      </c>
      <c r="F89" s="7">
        <v>27083</v>
      </c>
      <c r="G89" s="3">
        <f t="shared" si="1"/>
        <v>1974</v>
      </c>
      <c r="H89" s="2" t="s">
        <v>22</v>
      </c>
      <c r="I89" s="3" t="str">
        <f t="shared" si="2"/>
        <v>Single</v>
      </c>
      <c r="J89" s="2" t="s">
        <v>35</v>
      </c>
      <c r="K89" s="3" t="str">
        <f t="shared" si="3"/>
        <v>Female</v>
      </c>
      <c r="L89" s="2" t="s">
        <v>278</v>
      </c>
      <c r="M89" s="3" t="str">
        <f t="shared" si="4"/>
        <v>megan58</v>
      </c>
      <c r="N89" s="4">
        <v>60000</v>
      </c>
      <c r="O89" s="6" t="str">
        <f t="shared" si="5"/>
        <v>Average</v>
      </c>
      <c r="P89" s="2">
        <v>0</v>
      </c>
      <c r="Q89" s="2" t="s">
        <v>81</v>
      </c>
      <c r="R89" s="2" t="s">
        <v>48</v>
      </c>
      <c r="S89" s="2" t="s">
        <v>31</v>
      </c>
    </row>
    <row r="90" spans="1:19" ht="14.25" customHeight="1" x14ac:dyDescent="0.2">
      <c r="A90" s="2">
        <v>13089</v>
      </c>
      <c r="B90" s="2" t="s">
        <v>32</v>
      </c>
      <c r="C90" s="2" t="s">
        <v>279</v>
      </c>
      <c r="D90" s="2" t="s">
        <v>79</v>
      </c>
      <c r="E90" s="3" t="str">
        <f t="shared" si="0"/>
        <v>MRS. ELIZABETH ALEXANDER</v>
      </c>
      <c r="F90" s="7">
        <v>21794</v>
      </c>
      <c r="G90" s="3">
        <f t="shared" si="1"/>
        <v>1959</v>
      </c>
      <c r="H90" s="2" t="s">
        <v>23</v>
      </c>
      <c r="I90" s="3" t="str">
        <f t="shared" si="2"/>
        <v>Married</v>
      </c>
      <c r="J90" s="2" t="s">
        <v>35</v>
      </c>
      <c r="K90" s="3" t="str">
        <f t="shared" si="3"/>
        <v>Female</v>
      </c>
      <c r="L90" s="2" t="s">
        <v>280</v>
      </c>
      <c r="M90" s="3" t="str">
        <f t="shared" si="4"/>
        <v>elizabeth47</v>
      </c>
      <c r="N90" s="4">
        <v>120000</v>
      </c>
      <c r="O90" s="6" t="str">
        <f t="shared" si="5"/>
        <v>Rich</v>
      </c>
      <c r="P90" s="2">
        <v>1</v>
      </c>
      <c r="Q90" s="2" t="s">
        <v>47</v>
      </c>
      <c r="R90" s="2" t="s">
        <v>26</v>
      </c>
      <c r="S90" s="2" t="s">
        <v>27</v>
      </c>
    </row>
    <row r="91" spans="1:19" ht="14.25" customHeight="1" x14ac:dyDescent="0.2">
      <c r="A91" s="2">
        <v>13090</v>
      </c>
      <c r="B91" s="2" t="s">
        <v>19</v>
      </c>
      <c r="C91" s="2" t="s">
        <v>281</v>
      </c>
      <c r="D91" s="2" t="s">
        <v>282</v>
      </c>
      <c r="E91" s="3" t="str">
        <f t="shared" si="0"/>
        <v>MR. WAYNE TANG</v>
      </c>
      <c r="F91" s="7">
        <v>21702</v>
      </c>
      <c r="G91" s="3">
        <f t="shared" si="1"/>
        <v>1959</v>
      </c>
      <c r="H91" s="2" t="s">
        <v>22</v>
      </c>
      <c r="I91" s="3" t="str">
        <f t="shared" si="2"/>
        <v>Single</v>
      </c>
      <c r="J91" s="2" t="s">
        <v>23</v>
      </c>
      <c r="K91" s="3" t="str">
        <f t="shared" si="3"/>
        <v>Male</v>
      </c>
      <c r="L91" s="2" t="s">
        <v>283</v>
      </c>
      <c r="M91" s="3" t="str">
        <f t="shared" si="4"/>
        <v>wayne5</v>
      </c>
      <c r="N91" s="4">
        <v>130000</v>
      </c>
      <c r="O91" s="6" t="str">
        <f t="shared" si="5"/>
        <v>Rich</v>
      </c>
      <c r="P91" s="2">
        <v>0</v>
      </c>
      <c r="Q91" s="2" t="s">
        <v>25</v>
      </c>
      <c r="R91" s="2" t="s">
        <v>26</v>
      </c>
      <c r="S91" s="2" t="s">
        <v>31</v>
      </c>
    </row>
    <row r="92" spans="1:19" ht="14.25" customHeight="1" x14ac:dyDescent="0.2">
      <c r="A92" s="2">
        <v>13091</v>
      </c>
      <c r="B92" s="2" t="s">
        <v>43</v>
      </c>
      <c r="C92" s="2" t="s">
        <v>284</v>
      </c>
      <c r="D92" s="2" t="s">
        <v>285</v>
      </c>
      <c r="E92" s="3" t="str">
        <f t="shared" si="0"/>
        <v>MS. DEANNA MARTIN</v>
      </c>
      <c r="F92" s="7">
        <v>21773</v>
      </c>
      <c r="G92" s="3">
        <f t="shared" si="1"/>
        <v>1959</v>
      </c>
      <c r="H92" s="2" t="s">
        <v>22</v>
      </c>
      <c r="I92" s="3" t="str">
        <f t="shared" si="2"/>
        <v>Single</v>
      </c>
      <c r="J92" s="2" t="s">
        <v>35</v>
      </c>
      <c r="K92" s="3" t="str">
        <f t="shared" si="3"/>
        <v>Female</v>
      </c>
      <c r="L92" s="2" t="s">
        <v>286</v>
      </c>
      <c r="M92" s="3" t="str">
        <f t="shared" si="4"/>
        <v>deanna25</v>
      </c>
      <c r="N92" s="4">
        <v>130000</v>
      </c>
      <c r="O92" s="6" t="str">
        <f t="shared" si="5"/>
        <v>Rich</v>
      </c>
      <c r="P92" s="2">
        <v>0</v>
      </c>
      <c r="Q92" s="2" t="s">
        <v>25</v>
      </c>
      <c r="R92" s="2" t="s">
        <v>26</v>
      </c>
      <c r="S92" s="2" t="s">
        <v>31</v>
      </c>
    </row>
    <row r="93" spans="1:19" ht="14.25" customHeight="1" x14ac:dyDescent="0.2">
      <c r="A93" s="2">
        <v>13092</v>
      </c>
      <c r="B93" s="2" t="s">
        <v>19</v>
      </c>
      <c r="C93" s="2" t="s">
        <v>287</v>
      </c>
      <c r="D93" s="2" t="s">
        <v>231</v>
      </c>
      <c r="E93" s="3" t="str">
        <f t="shared" si="0"/>
        <v>MR. WILLIAM WALKER</v>
      </c>
      <c r="F93" s="7">
        <v>24415</v>
      </c>
      <c r="G93" s="3">
        <f t="shared" si="1"/>
        <v>1966</v>
      </c>
      <c r="H93" s="2" t="s">
        <v>23</v>
      </c>
      <c r="I93" s="3" t="str">
        <f t="shared" si="2"/>
        <v>Married</v>
      </c>
      <c r="J93" s="2" t="s">
        <v>23</v>
      </c>
      <c r="K93" s="3" t="str">
        <f t="shared" si="3"/>
        <v>Male</v>
      </c>
      <c r="L93" s="2" t="s">
        <v>288</v>
      </c>
      <c r="M93" s="3" t="str">
        <f t="shared" si="4"/>
        <v>william29</v>
      </c>
      <c r="N93" s="4">
        <v>130000</v>
      </c>
      <c r="O93" s="6" t="str">
        <f t="shared" si="5"/>
        <v>Rich</v>
      </c>
      <c r="P93" s="2">
        <v>0</v>
      </c>
      <c r="Q93" s="2" t="s">
        <v>25</v>
      </c>
      <c r="R93" s="2" t="s">
        <v>26</v>
      </c>
      <c r="S93" s="2" t="s">
        <v>27</v>
      </c>
    </row>
    <row r="94" spans="1:19" ht="14.25" customHeight="1" x14ac:dyDescent="0.2">
      <c r="A94" s="2">
        <v>13093</v>
      </c>
      <c r="B94" s="2" t="s">
        <v>32</v>
      </c>
      <c r="C94" s="2" t="s">
        <v>289</v>
      </c>
      <c r="D94" s="2" t="s">
        <v>69</v>
      </c>
      <c r="E94" s="3" t="str">
        <f t="shared" si="0"/>
        <v>MRS. MICHELLE JAMES</v>
      </c>
      <c r="F94" s="7">
        <v>21108</v>
      </c>
      <c r="G94" s="3">
        <f t="shared" si="1"/>
        <v>1957</v>
      </c>
      <c r="H94" s="2" t="s">
        <v>22</v>
      </c>
      <c r="I94" s="3" t="str">
        <f t="shared" si="2"/>
        <v>Single</v>
      </c>
      <c r="J94" s="2" t="s">
        <v>35</v>
      </c>
      <c r="K94" s="3" t="str">
        <f t="shared" si="3"/>
        <v>Female</v>
      </c>
      <c r="L94" s="2" t="s">
        <v>290</v>
      </c>
      <c r="M94" s="3" t="str">
        <f t="shared" si="4"/>
        <v>michelle9</v>
      </c>
      <c r="N94" s="4">
        <v>80000</v>
      </c>
      <c r="O94" s="6" t="str">
        <f t="shared" si="5"/>
        <v>Average</v>
      </c>
      <c r="P94" s="2">
        <v>2</v>
      </c>
      <c r="Q94" s="2" t="s">
        <v>93</v>
      </c>
      <c r="R94" s="2" t="s">
        <v>82</v>
      </c>
      <c r="S94" s="2" t="s">
        <v>31</v>
      </c>
    </row>
    <row r="95" spans="1:19" ht="14.25" customHeight="1" x14ac:dyDescent="0.2">
      <c r="A95" s="2">
        <v>13094</v>
      </c>
      <c r="B95" s="2" t="s">
        <v>19</v>
      </c>
      <c r="C95" s="2" t="s">
        <v>75</v>
      </c>
      <c r="D95" s="2" t="s">
        <v>96</v>
      </c>
      <c r="E95" s="3" t="str">
        <f t="shared" si="0"/>
        <v>MR. ANTONIO DIAZ</v>
      </c>
      <c r="F95" s="7">
        <v>20902</v>
      </c>
      <c r="G95" s="3">
        <f t="shared" si="1"/>
        <v>1957</v>
      </c>
      <c r="H95" s="2" t="s">
        <v>23</v>
      </c>
      <c r="I95" s="3" t="str">
        <f t="shared" si="2"/>
        <v>Married</v>
      </c>
      <c r="J95" s="2" t="s">
        <v>23</v>
      </c>
      <c r="K95" s="3" t="str">
        <f t="shared" si="3"/>
        <v>Male</v>
      </c>
      <c r="L95" s="2" t="s">
        <v>291</v>
      </c>
      <c r="M95" s="3" t="str">
        <f t="shared" si="4"/>
        <v>antonio22</v>
      </c>
      <c r="N95" s="4">
        <v>60000</v>
      </c>
      <c r="O95" s="6" t="str">
        <f t="shared" si="5"/>
        <v>Average</v>
      </c>
      <c r="P95" s="2">
        <v>2</v>
      </c>
      <c r="Q95" s="2" t="s">
        <v>86</v>
      </c>
      <c r="R95" s="2" t="s">
        <v>48</v>
      </c>
      <c r="S95" s="2" t="s">
        <v>31</v>
      </c>
    </row>
    <row r="96" spans="1:19" ht="14.25" customHeight="1" x14ac:dyDescent="0.2">
      <c r="A96" s="2">
        <v>13095</v>
      </c>
      <c r="B96" s="2" t="s">
        <v>19</v>
      </c>
      <c r="C96" s="2" t="s">
        <v>292</v>
      </c>
      <c r="D96" s="2" t="s">
        <v>293</v>
      </c>
      <c r="E96" s="3" t="str">
        <f t="shared" si="0"/>
        <v>MR. JORDAN GRIFFIN</v>
      </c>
      <c r="F96" s="7">
        <v>21025</v>
      </c>
      <c r="G96" s="3">
        <f t="shared" si="1"/>
        <v>1957</v>
      </c>
      <c r="H96" s="2" t="s">
        <v>22</v>
      </c>
      <c r="I96" s="3" t="str">
        <f t="shared" si="2"/>
        <v>Single</v>
      </c>
      <c r="J96" s="2" t="s">
        <v>23</v>
      </c>
      <c r="K96" s="3" t="str">
        <f t="shared" si="3"/>
        <v>Male</v>
      </c>
      <c r="L96" s="2" t="s">
        <v>294</v>
      </c>
      <c r="M96" s="3" t="str">
        <f t="shared" si="4"/>
        <v>jordan18</v>
      </c>
      <c r="N96" s="4">
        <v>60000</v>
      </c>
      <c r="O96" s="6" t="str">
        <f t="shared" si="5"/>
        <v>Average</v>
      </c>
      <c r="P96" s="2">
        <v>2</v>
      </c>
      <c r="Q96" s="2" t="s">
        <v>86</v>
      </c>
      <c r="R96" s="2" t="s">
        <v>48</v>
      </c>
      <c r="S96" s="2" t="s">
        <v>27</v>
      </c>
    </row>
    <row r="97" spans="1:19" ht="14.25" customHeight="1" x14ac:dyDescent="0.2">
      <c r="A97" s="2">
        <v>13096</v>
      </c>
      <c r="B97" s="2" t="s">
        <v>19</v>
      </c>
      <c r="C97" s="2" t="s">
        <v>165</v>
      </c>
      <c r="D97" s="2" t="s">
        <v>38</v>
      </c>
      <c r="E97" s="3" t="str">
        <f t="shared" si="0"/>
        <v>MR. JONATHAN CHEN</v>
      </c>
      <c r="F97" s="7">
        <v>21113</v>
      </c>
      <c r="G97" s="3">
        <f t="shared" si="1"/>
        <v>1957</v>
      </c>
      <c r="H97" s="2" t="s">
        <v>23</v>
      </c>
      <c r="I97" s="3" t="str">
        <f t="shared" si="2"/>
        <v>Married</v>
      </c>
      <c r="J97" s="2" t="s">
        <v>23</v>
      </c>
      <c r="K97" s="3" t="str">
        <f t="shared" si="3"/>
        <v>Male</v>
      </c>
      <c r="L97" s="2" t="s">
        <v>295</v>
      </c>
      <c r="M97" s="3" t="str">
        <f t="shared" si="4"/>
        <v>jonathan24</v>
      </c>
      <c r="N97" s="4">
        <v>60000</v>
      </c>
      <c r="O97" s="6" t="str">
        <f t="shared" si="5"/>
        <v>Average</v>
      </c>
      <c r="P97" s="2">
        <v>2</v>
      </c>
      <c r="Q97" s="2" t="s">
        <v>86</v>
      </c>
      <c r="R97" s="2" t="s">
        <v>48</v>
      </c>
      <c r="S97" s="2" t="s">
        <v>31</v>
      </c>
    </row>
    <row r="98" spans="1:19" ht="14.25" customHeight="1" x14ac:dyDescent="0.2">
      <c r="A98" s="2">
        <v>13097</v>
      </c>
      <c r="B98" s="2" t="s">
        <v>19</v>
      </c>
      <c r="C98" s="2" t="s">
        <v>116</v>
      </c>
      <c r="D98" s="2" t="s">
        <v>238</v>
      </c>
      <c r="E98" s="3" t="str">
        <f t="shared" si="0"/>
        <v>MR. DALTON HUGHES</v>
      </c>
      <c r="F98" s="7">
        <v>20954</v>
      </c>
      <c r="G98" s="3">
        <f t="shared" si="1"/>
        <v>1957</v>
      </c>
      <c r="H98" s="2" t="s">
        <v>23</v>
      </c>
      <c r="I98" s="3" t="str">
        <f t="shared" si="2"/>
        <v>Married</v>
      </c>
      <c r="J98" s="2" t="s">
        <v>23</v>
      </c>
      <c r="K98" s="3" t="str">
        <f t="shared" si="3"/>
        <v>Male</v>
      </c>
      <c r="L98" s="2" t="s">
        <v>296</v>
      </c>
      <c r="M98" s="3" t="str">
        <f t="shared" si="4"/>
        <v>dalton57</v>
      </c>
      <c r="N98" s="4">
        <v>60000</v>
      </c>
      <c r="O98" s="6" t="str">
        <f t="shared" si="5"/>
        <v>Average</v>
      </c>
      <c r="P98" s="2">
        <v>2</v>
      </c>
      <c r="Q98" s="2" t="s">
        <v>86</v>
      </c>
      <c r="R98" s="2" t="s">
        <v>48</v>
      </c>
      <c r="S98" s="2" t="s">
        <v>31</v>
      </c>
    </row>
    <row r="99" spans="1:19" ht="14.25" customHeight="1" x14ac:dyDescent="0.2">
      <c r="A99" s="2">
        <v>13098</v>
      </c>
      <c r="B99" s="2" t="s">
        <v>19</v>
      </c>
      <c r="C99" s="2" t="s">
        <v>297</v>
      </c>
      <c r="D99" s="2" t="s">
        <v>298</v>
      </c>
      <c r="E99" s="3" t="str">
        <f t="shared" si="0"/>
        <v>MR. MIGUEL RUSSELL</v>
      </c>
      <c r="F99" s="7">
        <v>21100</v>
      </c>
      <c r="G99" s="3">
        <f t="shared" si="1"/>
        <v>1957</v>
      </c>
      <c r="H99" s="2" t="s">
        <v>23</v>
      </c>
      <c r="I99" s="3" t="str">
        <f t="shared" si="2"/>
        <v>Married</v>
      </c>
      <c r="J99" s="2" t="s">
        <v>23</v>
      </c>
      <c r="K99" s="3" t="str">
        <f t="shared" si="3"/>
        <v>Male</v>
      </c>
      <c r="L99" s="2" t="s">
        <v>299</v>
      </c>
      <c r="M99" s="3" t="str">
        <f t="shared" si="4"/>
        <v>miguel66</v>
      </c>
      <c r="N99" s="4">
        <v>60000</v>
      </c>
      <c r="O99" s="6" t="str">
        <f t="shared" si="5"/>
        <v>Average</v>
      </c>
      <c r="P99" s="2">
        <v>2</v>
      </c>
      <c r="Q99" s="2" t="s">
        <v>86</v>
      </c>
      <c r="R99" s="2" t="s">
        <v>48</v>
      </c>
      <c r="S99" s="2" t="s">
        <v>31</v>
      </c>
    </row>
    <row r="100" spans="1:19" ht="14.25" customHeight="1" x14ac:dyDescent="0.2">
      <c r="A100" s="2">
        <v>13099</v>
      </c>
      <c r="B100" s="2" t="s">
        <v>19</v>
      </c>
      <c r="C100" s="2" t="s">
        <v>300</v>
      </c>
      <c r="D100" s="2" t="s">
        <v>301</v>
      </c>
      <c r="E100" s="3" t="str">
        <f t="shared" si="0"/>
        <v>MR. JAY ROMERO</v>
      </c>
      <c r="F100" s="7">
        <v>21036</v>
      </c>
      <c r="G100" s="3">
        <f t="shared" si="1"/>
        <v>1957</v>
      </c>
      <c r="H100" s="2" t="s">
        <v>23</v>
      </c>
      <c r="I100" s="3" t="str">
        <f t="shared" si="2"/>
        <v>Married</v>
      </c>
      <c r="J100" s="2" t="s">
        <v>23</v>
      </c>
      <c r="K100" s="3" t="str">
        <f t="shared" si="3"/>
        <v>Male</v>
      </c>
      <c r="L100" s="2" t="s">
        <v>302</v>
      </c>
      <c r="M100" s="3" t="str">
        <f t="shared" si="4"/>
        <v>jay38</v>
      </c>
      <c r="N100" s="4">
        <v>70000</v>
      </c>
      <c r="O100" s="6" t="str">
        <f t="shared" si="5"/>
        <v>Average</v>
      </c>
      <c r="P100" s="2">
        <v>3</v>
      </c>
      <c r="Q100" s="2" t="s">
        <v>81</v>
      </c>
      <c r="R100" s="2" t="s">
        <v>48</v>
      </c>
      <c r="S100" s="2" t="s">
        <v>31</v>
      </c>
    </row>
    <row r="101" spans="1:19" ht="14.25" customHeight="1" x14ac:dyDescent="0.2">
      <c r="A101" s="2">
        <v>13100</v>
      </c>
      <c r="B101" s="2" t="s">
        <v>19</v>
      </c>
      <c r="C101" s="2" t="s">
        <v>113</v>
      </c>
      <c r="D101" s="2" t="s">
        <v>303</v>
      </c>
      <c r="E101" s="3" t="str">
        <f t="shared" si="0"/>
        <v>MR. JEREMY PEREZ</v>
      </c>
      <c r="F101" s="7">
        <v>21017</v>
      </c>
      <c r="G101" s="3">
        <f t="shared" si="1"/>
        <v>1957</v>
      </c>
      <c r="H101" s="2" t="s">
        <v>23</v>
      </c>
      <c r="I101" s="3" t="str">
        <f t="shared" si="2"/>
        <v>Married</v>
      </c>
      <c r="J101" s="2" t="s">
        <v>23</v>
      </c>
      <c r="K101" s="3" t="str">
        <f t="shared" si="3"/>
        <v>Male</v>
      </c>
      <c r="L101" s="2" t="s">
        <v>304</v>
      </c>
      <c r="M101" s="3" t="str">
        <f t="shared" si="4"/>
        <v>jeremy14</v>
      </c>
      <c r="N101" s="4">
        <v>80000</v>
      </c>
      <c r="O101" s="6" t="str">
        <f t="shared" si="5"/>
        <v>Average</v>
      </c>
      <c r="P101" s="2">
        <v>2</v>
      </c>
      <c r="Q101" s="2" t="s">
        <v>47</v>
      </c>
      <c r="R101" s="2" t="s">
        <v>26</v>
      </c>
      <c r="S101" s="2" t="s">
        <v>31</v>
      </c>
    </row>
    <row r="102" spans="1:19" ht="14.25" customHeight="1" x14ac:dyDescent="0.2">
      <c r="A102" s="2">
        <v>13101</v>
      </c>
      <c r="B102" s="2" t="s">
        <v>19</v>
      </c>
      <c r="C102" s="2" t="s">
        <v>305</v>
      </c>
      <c r="D102" s="2" t="s">
        <v>91</v>
      </c>
      <c r="E102" s="3" t="str">
        <f t="shared" si="0"/>
        <v>MR. ALEX SANCHEZ</v>
      </c>
      <c r="F102" s="7">
        <v>21100</v>
      </c>
      <c r="G102" s="3">
        <f t="shared" si="1"/>
        <v>1957</v>
      </c>
      <c r="H102" s="2" t="s">
        <v>22</v>
      </c>
      <c r="I102" s="3" t="str">
        <f t="shared" si="2"/>
        <v>Single</v>
      </c>
      <c r="J102" s="2" t="s">
        <v>23</v>
      </c>
      <c r="K102" s="3" t="str">
        <f t="shared" si="3"/>
        <v>Male</v>
      </c>
      <c r="L102" s="2" t="s">
        <v>306</v>
      </c>
      <c r="M102" s="3" t="str">
        <f t="shared" si="4"/>
        <v>alex21</v>
      </c>
      <c r="N102" s="4">
        <v>90000</v>
      </c>
      <c r="O102" s="6" t="str">
        <f t="shared" si="5"/>
        <v>Average</v>
      </c>
      <c r="P102" s="2">
        <v>2</v>
      </c>
      <c r="Q102" s="2" t="s">
        <v>81</v>
      </c>
      <c r="R102" s="2" t="s">
        <v>48</v>
      </c>
      <c r="S102" s="2" t="s">
        <v>27</v>
      </c>
    </row>
    <row r="103" spans="1:19" ht="14.25" customHeight="1" x14ac:dyDescent="0.2">
      <c r="A103" s="2">
        <v>13102</v>
      </c>
      <c r="B103" s="2" t="s">
        <v>32</v>
      </c>
      <c r="C103" s="2" t="s">
        <v>307</v>
      </c>
      <c r="D103" s="2" t="s">
        <v>76</v>
      </c>
      <c r="E103" s="3" t="str">
        <f t="shared" si="0"/>
        <v>MRS. MARIAH BRYANT</v>
      </c>
      <c r="F103" s="7">
        <v>21082</v>
      </c>
      <c r="G103" s="3">
        <f t="shared" si="1"/>
        <v>1957</v>
      </c>
      <c r="H103" s="2" t="s">
        <v>22</v>
      </c>
      <c r="I103" s="3" t="str">
        <f t="shared" si="2"/>
        <v>Single</v>
      </c>
      <c r="J103" s="2" t="s">
        <v>35</v>
      </c>
      <c r="K103" s="3" t="str">
        <f t="shared" si="3"/>
        <v>Female</v>
      </c>
      <c r="L103" s="2" t="s">
        <v>308</v>
      </c>
      <c r="M103" s="3" t="str">
        <f t="shared" si="4"/>
        <v>mariah23</v>
      </c>
      <c r="N103" s="4">
        <v>90000</v>
      </c>
      <c r="O103" s="6" t="str">
        <f t="shared" si="5"/>
        <v>Average</v>
      </c>
      <c r="P103" s="2">
        <v>2</v>
      </c>
      <c r="Q103" s="2" t="s">
        <v>81</v>
      </c>
      <c r="R103" s="2" t="s">
        <v>48</v>
      </c>
      <c r="S103" s="2" t="s">
        <v>27</v>
      </c>
    </row>
    <row r="104" spans="1:19" ht="14.25" customHeight="1" x14ac:dyDescent="0.2">
      <c r="A104" s="2">
        <v>13103</v>
      </c>
      <c r="B104" s="2" t="s">
        <v>19</v>
      </c>
      <c r="C104" s="2" t="s">
        <v>83</v>
      </c>
      <c r="D104" s="2" t="s">
        <v>309</v>
      </c>
      <c r="E104" s="3" t="str">
        <f t="shared" si="0"/>
        <v>MR. BRENDAN RAJI</v>
      </c>
      <c r="F104" s="7">
        <v>23225</v>
      </c>
      <c r="G104" s="3">
        <f t="shared" si="1"/>
        <v>1963</v>
      </c>
      <c r="H104" s="2" t="s">
        <v>22</v>
      </c>
      <c r="I104" s="3" t="str">
        <f t="shared" si="2"/>
        <v>Single</v>
      </c>
      <c r="J104" s="2" t="s">
        <v>23</v>
      </c>
      <c r="K104" s="3" t="str">
        <f t="shared" si="3"/>
        <v>Male</v>
      </c>
      <c r="L104" s="2" t="s">
        <v>310</v>
      </c>
      <c r="M104" s="3" t="str">
        <f t="shared" si="4"/>
        <v>brendan19</v>
      </c>
      <c r="N104" s="4">
        <v>70000</v>
      </c>
      <c r="O104" s="6" t="str">
        <f t="shared" si="5"/>
        <v>Average</v>
      </c>
      <c r="P104" s="2">
        <v>0</v>
      </c>
      <c r="Q104" s="2" t="s">
        <v>47</v>
      </c>
      <c r="R104" s="2" t="s">
        <v>48</v>
      </c>
      <c r="S104" s="2" t="s">
        <v>31</v>
      </c>
    </row>
    <row r="105" spans="1:19" ht="14.25" customHeight="1" x14ac:dyDescent="0.2">
      <c r="A105" s="2">
        <v>13104</v>
      </c>
      <c r="B105" s="2" t="s">
        <v>19</v>
      </c>
      <c r="C105" s="2" t="s">
        <v>311</v>
      </c>
      <c r="D105" s="2" t="s">
        <v>312</v>
      </c>
      <c r="E105" s="3" t="str">
        <f t="shared" si="0"/>
        <v>MR. GREGORY BECKER</v>
      </c>
      <c r="F105" s="7">
        <v>23113</v>
      </c>
      <c r="G105" s="3">
        <f t="shared" si="1"/>
        <v>1963</v>
      </c>
      <c r="H105" s="2" t="s">
        <v>22</v>
      </c>
      <c r="I105" s="3" t="str">
        <f t="shared" si="2"/>
        <v>Single</v>
      </c>
      <c r="J105" s="2" t="s">
        <v>23</v>
      </c>
      <c r="K105" s="3" t="str">
        <f t="shared" si="3"/>
        <v>Male</v>
      </c>
      <c r="L105" s="2" t="s">
        <v>313</v>
      </c>
      <c r="M105" s="3" t="str">
        <f t="shared" si="4"/>
        <v>gregory24</v>
      </c>
      <c r="N105" s="4">
        <v>70000</v>
      </c>
      <c r="O105" s="6" t="str">
        <f t="shared" si="5"/>
        <v>Average</v>
      </c>
      <c r="P105" s="2">
        <v>0</v>
      </c>
      <c r="Q105" s="2" t="s">
        <v>47</v>
      </c>
      <c r="R105" s="2" t="s">
        <v>48</v>
      </c>
      <c r="S105" s="2" t="s">
        <v>31</v>
      </c>
    </row>
    <row r="106" spans="1:19" ht="14.25" customHeight="1" x14ac:dyDescent="0.2">
      <c r="A106" s="2">
        <v>13105</v>
      </c>
      <c r="B106" s="2" t="s">
        <v>32</v>
      </c>
      <c r="C106" s="2" t="s">
        <v>44</v>
      </c>
      <c r="D106" s="2" t="s">
        <v>314</v>
      </c>
      <c r="E106" s="3" t="str">
        <f t="shared" si="0"/>
        <v>MRS. WHITNEY KOVÁR</v>
      </c>
      <c r="F106" s="7">
        <v>22829</v>
      </c>
      <c r="G106" s="3">
        <f t="shared" si="1"/>
        <v>1962</v>
      </c>
      <c r="H106" s="2" t="s">
        <v>23</v>
      </c>
      <c r="I106" s="3" t="str">
        <f t="shared" si="2"/>
        <v>Married</v>
      </c>
      <c r="J106" s="2" t="s">
        <v>35</v>
      </c>
      <c r="K106" s="3" t="str">
        <f t="shared" si="3"/>
        <v>Female</v>
      </c>
      <c r="L106" s="2" t="s">
        <v>315</v>
      </c>
      <c r="M106" s="3" t="str">
        <f t="shared" si="4"/>
        <v>whitney4</v>
      </c>
      <c r="N106" s="4">
        <v>60000</v>
      </c>
      <c r="O106" s="6" t="str">
        <f t="shared" si="5"/>
        <v>Average</v>
      </c>
      <c r="P106" s="2">
        <v>1</v>
      </c>
      <c r="Q106" s="2" t="s">
        <v>47</v>
      </c>
      <c r="R106" s="2" t="s">
        <v>48</v>
      </c>
      <c r="S106" s="2" t="s">
        <v>27</v>
      </c>
    </row>
    <row r="107" spans="1:19" ht="14.25" customHeight="1" x14ac:dyDescent="0.2">
      <c r="A107" s="2">
        <v>13106</v>
      </c>
      <c r="B107" s="2" t="s">
        <v>32</v>
      </c>
      <c r="C107" s="2" t="s">
        <v>316</v>
      </c>
      <c r="D107" s="2" t="s">
        <v>244</v>
      </c>
      <c r="E107" s="3" t="str">
        <f t="shared" si="0"/>
        <v>MRS. EBONY MUNOZ</v>
      </c>
      <c r="F107" s="7">
        <v>22835</v>
      </c>
      <c r="G107" s="3">
        <f t="shared" si="1"/>
        <v>1962</v>
      </c>
      <c r="H107" s="2" t="s">
        <v>23</v>
      </c>
      <c r="I107" s="3" t="str">
        <f t="shared" si="2"/>
        <v>Married</v>
      </c>
      <c r="J107" s="2" t="s">
        <v>35</v>
      </c>
      <c r="K107" s="3" t="str">
        <f t="shared" si="3"/>
        <v>Female</v>
      </c>
      <c r="L107" s="2" t="s">
        <v>317</v>
      </c>
      <c r="M107" s="3" t="str">
        <f t="shared" si="4"/>
        <v>ebony30</v>
      </c>
      <c r="N107" s="4">
        <v>60000</v>
      </c>
      <c r="O107" s="6" t="str">
        <f t="shared" si="5"/>
        <v>Average</v>
      </c>
      <c r="P107" s="2">
        <v>1</v>
      </c>
      <c r="Q107" s="2" t="s">
        <v>47</v>
      </c>
      <c r="R107" s="2" t="s">
        <v>48</v>
      </c>
      <c r="S107" s="2" t="s">
        <v>27</v>
      </c>
    </row>
    <row r="108" spans="1:19" ht="14.25" customHeight="1" x14ac:dyDescent="0.2">
      <c r="A108" s="2">
        <v>13107</v>
      </c>
      <c r="B108" s="2" t="s">
        <v>32</v>
      </c>
      <c r="C108" s="2" t="s">
        <v>318</v>
      </c>
      <c r="D108" s="2" t="s">
        <v>273</v>
      </c>
      <c r="E108" s="3" t="str">
        <f t="shared" si="0"/>
        <v>MRS. MARY NELSON</v>
      </c>
      <c r="F108" s="7">
        <v>22838</v>
      </c>
      <c r="G108" s="3">
        <f t="shared" si="1"/>
        <v>1962</v>
      </c>
      <c r="H108" s="2" t="s">
        <v>23</v>
      </c>
      <c r="I108" s="3" t="str">
        <f t="shared" si="2"/>
        <v>Married</v>
      </c>
      <c r="J108" s="2" t="s">
        <v>35</v>
      </c>
      <c r="K108" s="3" t="str">
        <f t="shared" si="3"/>
        <v>Female</v>
      </c>
      <c r="L108" s="2" t="s">
        <v>319</v>
      </c>
      <c r="M108" s="3" t="str">
        <f t="shared" si="4"/>
        <v>mary22</v>
      </c>
      <c r="N108" s="4">
        <v>60000</v>
      </c>
      <c r="O108" s="6" t="str">
        <f t="shared" si="5"/>
        <v>Average</v>
      </c>
      <c r="P108" s="2">
        <v>1</v>
      </c>
      <c r="Q108" s="2" t="s">
        <v>47</v>
      </c>
      <c r="R108" s="2" t="s">
        <v>48</v>
      </c>
      <c r="S108" s="2" t="s">
        <v>27</v>
      </c>
    </row>
    <row r="109" spans="1:19" ht="14.25" customHeight="1" x14ac:dyDescent="0.2">
      <c r="A109" s="2">
        <v>13108</v>
      </c>
      <c r="B109" s="2" t="s">
        <v>19</v>
      </c>
      <c r="C109" s="2" t="s">
        <v>320</v>
      </c>
      <c r="D109" s="2" t="s">
        <v>175</v>
      </c>
      <c r="E109" s="3" t="str">
        <f t="shared" si="0"/>
        <v>MR. CURTIS WANG</v>
      </c>
      <c r="F109" s="7">
        <v>23006</v>
      </c>
      <c r="G109" s="3">
        <f t="shared" si="1"/>
        <v>1962</v>
      </c>
      <c r="H109" s="2" t="s">
        <v>23</v>
      </c>
      <c r="I109" s="3" t="str">
        <f t="shared" si="2"/>
        <v>Married</v>
      </c>
      <c r="J109" s="2" t="s">
        <v>23</v>
      </c>
      <c r="K109" s="3" t="str">
        <f t="shared" si="3"/>
        <v>Male</v>
      </c>
      <c r="L109" s="2" t="s">
        <v>321</v>
      </c>
      <c r="M109" s="3" t="str">
        <f t="shared" si="4"/>
        <v>curtis2</v>
      </c>
      <c r="N109" s="4">
        <v>60000</v>
      </c>
      <c r="O109" s="6" t="str">
        <f t="shared" si="5"/>
        <v>Average</v>
      </c>
      <c r="P109" s="2">
        <v>1</v>
      </c>
      <c r="Q109" s="2" t="s">
        <v>47</v>
      </c>
      <c r="R109" s="2" t="s">
        <v>48</v>
      </c>
      <c r="S109" s="2" t="s">
        <v>27</v>
      </c>
    </row>
    <row r="110" spans="1:19" ht="14.25" customHeight="1" x14ac:dyDescent="0.2">
      <c r="A110" s="2">
        <v>13109</v>
      </c>
      <c r="B110" s="2" t="s">
        <v>32</v>
      </c>
      <c r="C110" s="2" t="s">
        <v>322</v>
      </c>
      <c r="D110" s="2" t="s">
        <v>323</v>
      </c>
      <c r="E110" s="3" t="str">
        <f t="shared" si="0"/>
        <v>MRS. CHERYL NAVARRO</v>
      </c>
      <c r="F110" s="7">
        <v>22870</v>
      </c>
      <c r="G110" s="3">
        <f t="shared" si="1"/>
        <v>1962</v>
      </c>
      <c r="H110" s="2" t="s">
        <v>23</v>
      </c>
      <c r="I110" s="3" t="str">
        <f t="shared" si="2"/>
        <v>Married</v>
      </c>
      <c r="J110" s="2" t="s">
        <v>35</v>
      </c>
      <c r="K110" s="3" t="str">
        <f t="shared" si="3"/>
        <v>Female</v>
      </c>
      <c r="L110" s="2" t="s">
        <v>324</v>
      </c>
      <c r="M110" s="3" t="str">
        <f t="shared" si="4"/>
        <v>cheryl12</v>
      </c>
      <c r="N110" s="4">
        <v>60000</v>
      </c>
      <c r="O110" s="6" t="str">
        <f t="shared" si="5"/>
        <v>Average</v>
      </c>
      <c r="P110" s="2">
        <v>1</v>
      </c>
      <c r="Q110" s="2" t="s">
        <v>47</v>
      </c>
      <c r="R110" s="2" t="s">
        <v>48</v>
      </c>
      <c r="S110" s="2" t="s">
        <v>27</v>
      </c>
    </row>
    <row r="111" spans="1:19" ht="14.25" customHeight="1" x14ac:dyDescent="0.2">
      <c r="A111" s="2">
        <v>13111</v>
      </c>
      <c r="B111" s="2" t="s">
        <v>32</v>
      </c>
      <c r="C111" s="2" t="s">
        <v>325</v>
      </c>
      <c r="D111" s="2" t="s">
        <v>265</v>
      </c>
      <c r="E111" s="3" t="str">
        <f t="shared" si="0"/>
        <v>MRS. HANNAH BUTLER</v>
      </c>
      <c r="F111" s="7">
        <v>22509</v>
      </c>
      <c r="G111" s="3">
        <f t="shared" si="1"/>
        <v>1961</v>
      </c>
      <c r="H111" s="2" t="s">
        <v>22</v>
      </c>
      <c r="I111" s="3" t="str">
        <f t="shared" si="2"/>
        <v>Single</v>
      </c>
      <c r="J111" s="2" t="s">
        <v>35</v>
      </c>
      <c r="K111" s="3" t="str">
        <f t="shared" si="3"/>
        <v>Female</v>
      </c>
      <c r="L111" s="2" t="s">
        <v>326</v>
      </c>
      <c r="M111" s="3" t="str">
        <f t="shared" si="4"/>
        <v>hannah36</v>
      </c>
      <c r="N111" s="4">
        <v>60000</v>
      </c>
      <c r="O111" s="6" t="str">
        <f t="shared" si="5"/>
        <v>Average</v>
      </c>
      <c r="P111" s="2">
        <v>1</v>
      </c>
      <c r="Q111" s="2" t="s">
        <v>81</v>
      </c>
      <c r="R111" s="2" t="s">
        <v>82</v>
      </c>
      <c r="S111" s="2" t="s">
        <v>27</v>
      </c>
    </row>
    <row r="112" spans="1:19" ht="14.25" customHeight="1" x14ac:dyDescent="0.2">
      <c r="A112" s="2">
        <v>13112</v>
      </c>
      <c r="B112" s="2" t="s">
        <v>32</v>
      </c>
      <c r="C112" s="2" t="s">
        <v>327</v>
      </c>
      <c r="D112" s="2" t="s">
        <v>328</v>
      </c>
      <c r="E112" s="3" t="str">
        <f t="shared" si="0"/>
        <v>MRS. BIANCA GAO</v>
      </c>
      <c r="F112" s="7">
        <v>22485</v>
      </c>
      <c r="G112" s="3">
        <f t="shared" si="1"/>
        <v>1961</v>
      </c>
      <c r="H112" s="2" t="s">
        <v>22</v>
      </c>
      <c r="I112" s="3" t="str">
        <f t="shared" si="2"/>
        <v>Single</v>
      </c>
      <c r="J112" s="2" t="s">
        <v>35</v>
      </c>
      <c r="K112" s="3" t="str">
        <f t="shared" si="3"/>
        <v>Female</v>
      </c>
      <c r="L112" s="2" t="s">
        <v>329</v>
      </c>
      <c r="M112" s="3" t="str">
        <f t="shared" si="4"/>
        <v>bianca11</v>
      </c>
      <c r="N112" s="4">
        <v>60000</v>
      </c>
      <c r="O112" s="6" t="str">
        <f t="shared" si="5"/>
        <v>Average</v>
      </c>
      <c r="P112" s="2">
        <v>1</v>
      </c>
      <c r="Q112" s="2" t="s">
        <v>81</v>
      </c>
      <c r="R112" s="2" t="s">
        <v>82</v>
      </c>
      <c r="S112" s="2" t="s">
        <v>27</v>
      </c>
    </row>
    <row r="113" spans="1:19" ht="14.25" customHeight="1" x14ac:dyDescent="0.2">
      <c r="A113" s="2">
        <v>13113</v>
      </c>
      <c r="B113" s="2" t="s">
        <v>19</v>
      </c>
      <c r="C113" s="2" t="s">
        <v>76</v>
      </c>
      <c r="D113" s="2" t="s">
        <v>91</v>
      </c>
      <c r="E113" s="3" t="str">
        <f t="shared" si="0"/>
        <v>MR. BRYANT SANCHEZ</v>
      </c>
      <c r="F113" s="7">
        <v>24302</v>
      </c>
      <c r="G113" s="3">
        <f t="shared" si="1"/>
        <v>1966</v>
      </c>
      <c r="H113" s="2" t="s">
        <v>22</v>
      </c>
      <c r="I113" s="3" t="str">
        <f t="shared" si="2"/>
        <v>Single</v>
      </c>
      <c r="J113" s="2" t="s">
        <v>23</v>
      </c>
      <c r="K113" s="3" t="str">
        <f t="shared" si="3"/>
        <v>Male</v>
      </c>
      <c r="L113" s="2" t="s">
        <v>330</v>
      </c>
      <c r="M113" s="3" t="str">
        <f t="shared" si="4"/>
        <v>bryant19</v>
      </c>
      <c r="N113" s="4">
        <v>100000</v>
      </c>
      <c r="O113" s="6" t="str">
        <f t="shared" si="5"/>
        <v>Rich</v>
      </c>
      <c r="P113" s="2">
        <v>0</v>
      </c>
      <c r="Q113" s="2" t="s">
        <v>47</v>
      </c>
      <c r="R113" s="2" t="s">
        <v>48</v>
      </c>
      <c r="S113" s="2" t="s">
        <v>31</v>
      </c>
    </row>
    <row r="114" spans="1:19" ht="14.25" customHeight="1" x14ac:dyDescent="0.2">
      <c r="A114" s="2">
        <v>13114</v>
      </c>
      <c r="B114" s="2" t="s">
        <v>43</v>
      </c>
      <c r="C114" s="2" t="s">
        <v>331</v>
      </c>
      <c r="D114" s="2" t="s">
        <v>21</v>
      </c>
      <c r="E114" s="3" t="str">
        <f t="shared" si="0"/>
        <v>MS. CLAUDIA ZHANG</v>
      </c>
      <c r="F114" s="7">
        <v>24228</v>
      </c>
      <c r="G114" s="3">
        <f t="shared" si="1"/>
        <v>1966</v>
      </c>
      <c r="H114" s="2" t="s">
        <v>22</v>
      </c>
      <c r="I114" s="3" t="str">
        <f t="shared" si="2"/>
        <v>Single</v>
      </c>
      <c r="J114" s="2" t="s">
        <v>35</v>
      </c>
      <c r="K114" s="3" t="str">
        <f t="shared" si="3"/>
        <v>Female</v>
      </c>
      <c r="L114" s="2" t="s">
        <v>332</v>
      </c>
      <c r="M114" s="3" t="str">
        <f t="shared" si="4"/>
        <v>claudia0</v>
      </c>
      <c r="N114" s="4">
        <v>100000</v>
      </c>
      <c r="O114" s="6" t="str">
        <f t="shared" si="5"/>
        <v>Rich</v>
      </c>
      <c r="P114" s="2">
        <v>0</v>
      </c>
      <c r="Q114" s="2" t="s">
        <v>47</v>
      </c>
      <c r="R114" s="2" t="s">
        <v>48</v>
      </c>
      <c r="S114" s="2" t="s">
        <v>31</v>
      </c>
    </row>
    <row r="115" spans="1:19" ht="14.25" customHeight="1" x14ac:dyDescent="0.2">
      <c r="A115" s="2">
        <v>13115</v>
      </c>
      <c r="B115" s="2" t="s">
        <v>19</v>
      </c>
      <c r="C115" s="2" t="s">
        <v>20</v>
      </c>
      <c r="D115" s="2" t="s">
        <v>333</v>
      </c>
      <c r="E115" s="3" t="str">
        <f t="shared" si="0"/>
        <v>MR. CLARENCE WU</v>
      </c>
      <c r="F115" s="7">
        <v>24377</v>
      </c>
      <c r="G115" s="3">
        <f t="shared" si="1"/>
        <v>1966</v>
      </c>
      <c r="H115" s="2" t="s">
        <v>22</v>
      </c>
      <c r="I115" s="3" t="str">
        <f t="shared" si="2"/>
        <v>Single</v>
      </c>
      <c r="J115" s="2" t="s">
        <v>23</v>
      </c>
      <c r="K115" s="3" t="str">
        <f t="shared" si="3"/>
        <v>Male</v>
      </c>
      <c r="L115" s="2" t="s">
        <v>334</v>
      </c>
      <c r="M115" s="3" t="str">
        <f t="shared" si="4"/>
        <v>clarence2</v>
      </c>
      <c r="N115" s="4">
        <v>110000</v>
      </c>
      <c r="O115" s="6" t="str">
        <f t="shared" si="5"/>
        <v>Rich</v>
      </c>
      <c r="P115" s="2">
        <v>0</v>
      </c>
      <c r="Q115" s="2" t="s">
        <v>25</v>
      </c>
      <c r="R115" s="2" t="s">
        <v>26</v>
      </c>
      <c r="S115" s="2" t="s">
        <v>27</v>
      </c>
    </row>
    <row r="116" spans="1:19" ht="14.25" customHeight="1" x14ac:dyDescent="0.2">
      <c r="A116" s="2">
        <v>13116</v>
      </c>
      <c r="B116" s="2" t="s">
        <v>19</v>
      </c>
      <c r="C116" s="2" t="s">
        <v>335</v>
      </c>
      <c r="D116" s="2" t="s">
        <v>96</v>
      </c>
      <c r="E116" s="3" t="str">
        <f t="shared" si="0"/>
        <v>MR. TYRONE DIAZ</v>
      </c>
      <c r="F116" s="7">
        <v>24235</v>
      </c>
      <c r="G116" s="3">
        <f t="shared" si="1"/>
        <v>1966</v>
      </c>
      <c r="H116" s="2" t="s">
        <v>22</v>
      </c>
      <c r="I116" s="3" t="str">
        <f t="shared" si="2"/>
        <v>Single</v>
      </c>
      <c r="J116" s="2" t="s">
        <v>23</v>
      </c>
      <c r="K116" s="3" t="str">
        <f t="shared" si="3"/>
        <v>Male</v>
      </c>
      <c r="L116" s="2" t="s">
        <v>336</v>
      </c>
      <c r="M116" s="3" t="str">
        <f t="shared" si="4"/>
        <v>tyrone2</v>
      </c>
      <c r="N116" s="4">
        <v>110000</v>
      </c>
      <c r="O116" s="6" t="str">
        <f t="shared" si="5"/>
        <v>Rich</v>
      </c>
      <c r="P116" s="2">
        <v>0</v>
      </c>
      <c r="Q116" s="2" t="s">
        <v>25</v>
      </c>
      <c r="R116" s="2" t="s">
        <v>26</v>
      </c>
      <c r="S116" s="2" t="s">
        <v>31</v>
      </c>
    </row>
    <row r="117" spans="1:19" ht="14.25" customHeight="1" x14ac:dyDescent="0.2">
      <c r="A117" s="2">
        <v>13117</v>
      </c>
      <c r="B117" s="2" t="s">
        <v>43</v>
      </c>
      <c r="C117" s="2" t="s">
        <v>337</v>
      </c>
      <c r="D117" s="2" t="s">
        <v>166</v>
      </c>
      <c r="E117" s="3" t="str">
        <f t="shared" si="0"/>
        <v>MS. EVELYN RODRIGUEZ</v>
      </c>
      <c r="F117" s="7">
        <v>24118</v>
      </c>
      <c r="G117" s="3">
        <f t="shared" si="1"/>
        <v>1966</v>
      </c>
      <c r="H117" s="2" t="s">
        <v>22</v>
      </c>
      <c r="I117" s="3" t="str">
        <f t="shared" si="2"/>
        <v>Single</v>
      </c>
      <c r="J117" s="2" t="s">
        <v>35</v>
      </c>
      <c r="K117" s="3" t="str">
        <f t="shared" si="3"/>
        <v>Female</v>
      </c>
      <c r="L117" s="2" t="s">
        <v>338</v>
      </c>
      <c r="M117" s="3" t="str">
        <f t="shared" si="4"/>
        <v>evelyn20</v>
      </c>
      <c r="N117" s="4">
        <v>110000</v>
      </c>
      <c r="O117" s="6" t="str">
        <f t="shared" si="5"/>
        <v>Rich</v>
      </c>
      <c r="P117" s="2">
        <v>0</v>
      </c>
      <c r="Q117" s="2" t="s">
        <v>25</v>
      </c>
      <c r="R117" s="2" t="s">
        <v>26</v>
      </c>
      <c r="S117" s="2" t="s">
        <v>31</v>
      </c>
    </row>
    <row r="118" spans="1:19" ht="14.25" customHeight="1" x14ac:dyDescent="0.2">
      <c r="A118" s="2">
        <v>13118</v>
      </c>
      <c r="B118" s="2" t="s">
        <v>32</v>
      </c>
      <c r="C118" s="2" t="s">
        <v>235</v>
      </c>
      <c r="D118" s="2" t="s">
        <v>339</v>
      </c>
      <c r="E118" s="3" t="str">
        <f t="shared" si="0"/>
        <v>MRS. SYDNEY COOK</v>
      </c>
      <c r="F118" s="7">
        <v>22105</v>
      </c>
      <c r="G118" s="3">
        <f t="shared" si="1"/>
        <v>1960</v>
      </c>
      <c r="H118" s="2" t="s">
        <v>23</v>
      </c>
      <c r="I118" s="3" t="str">
        <f t="shared" si="2"/>
        <v>Married</v>
      </c>
      <c r="J118" s="2" t="s">
        <v>35</v>
      </c>
      <c r="K118" s="3" t="str">
        <f t="shared" si="3"/>
        <v>Female</v>
      </c>
      <c r="L118" s="2" t="s">
        <v>340</v>
      </c>
      <c r="M118" s="3" t="str">
        <f t="shared" si="4"/>
        <v>sydney5</v>
      </c>
      <c r="N118" s="4">
        <v>60000</v>
      </c>
      <c r="O118" s="6" t="str">
        <f t="shared" si="5"/>
        <v>Average</v>
      </c>
      <c r="P118" s="2">
        <v>1</v>
      </c>
      <c r="Q118" s="2" t="s">
        <v>81</v>
      </c>
      <c r="R118" s="2" t="s">
        <v>82</v>
      </c>
      <c r="S118" s="2" t="s">
        <v>27</v>
      </c>
    </row>
    <row r="119" spans="1:19" ht="14.25" customHeight="1" x14ac:dyDescent="0.2">
      <c r="A119" s="2">
        <v>13119</v>
      </c>
      <c r="B119" s="2" t="s">
        <v>43</v>
      </c>
      <c r="C119" s="2" t="s">
        <v>341</v>
      </c>
      <c r="D119" s="2" t="s">
        <v>342</v>
      </c>
      <c r="E119" s="3" t="str">
        <f t="shared" si="0"/>
        <v>MS. JACLYN GUO</v>
      </c>
      <c r="F119" s="7">
        <v>24056</v>
      </c>
      <c r="G119" s="3">
        <f t="shared" si="1"/>
        <v>1965</v>
      </c>
      <c r="H119" s="2" t="s">
        <v>22</v>
      </c>
      <c r="I119" s="3" t="str">
        <f t="shared" si="2"/>
        <v>Single</v>
      </c>
      <c r="J119" s="2" t="s">
        <v>35</v>
      </c>
      <c r="K119" s="3" t="str">
        <f t="shared" si="3"/>
        <v>Female</v>
      </c>
      <c r="L119" s="2" t="s">
        <v>343</v>
      </c>
      <c r="M119" s="3" t="str">
        <f t="shared" si="4"/>
        <v>jaclyn19</v>
      </c>
      <c r="N119" s="4">
        <v>70000</v>
      </c>
      <c r="O119" s="6" t="str">
        <f t="shared" si="5"/>
        <v>Average</v>
      </c>
      <c r="P119" s="2">
        <v>0</v>
      </c>
      <c r="Q119" s="2" t="s">
        <v>47</v>
      </c>
      <c r="R119" s="2" t="s">
        <v>48</v>
      </c>
      <c r="S119" s="2" t="s">
        <v>31</v>
      </c>
    </row>
    <row r="120" spans="1:19" ht="14.25" customHeight="1" x14ac:dyDescent="0.2">
      <c r="A120" s="2">
        <v>13120</v>
      </c>
      <c r="B120" s="2" t="s">
        <v>19</v>
      </c>
      <c r="C120" s="2" t="s">
        <v>344</v>
      </c>
      <c r="D120" s="2" t="s">
        <v>345</v>
      </c>
      <c r="E120" s="3" t="str">
        <f t="shared" si="0"/>
        <v>MR. LEVI WEBER</v>
      </c>
      <c r="F120" s="7">
        <v>23932</v>
      </c>
      <c r="G120" s="3">
        <f t="shared" si="1"/>
        <v>1965</v>
      </c>
      <c r="H120" s="2" t="s">
        <v>23</v>
      </c>
      <c r="I120" s="3" t="str">
        <f t="shared" si="2"/>
        <v>Married</v>
      </c>
      <c r="J120" s="2" t="s">
        <v>23</v>
      </c>
      <c r="K120" s="3" t="str">
        <f t="shared" si="3"/>
        <v>Male</v>
      </c>
      <c r="L120" s="2" t="s">
        <v>346</v>
      </c>
      <c r="M120" s="3" t="str">
        <f t="shared" si="4"/>
        <v>levi3</v>
      </c>
      <c r="N120" s="4">
        <v>80000</v>
      </c>
      <c r="O120" s="6" t="str">
        <f t="shared" si="5"/>
        <v>Average</v>
      </c>
      <c r="P120" s="2">
        <v>5</v>
      </c>
      <c r="Q120" s="2" t="s">
        <v>47</v>
      </c>
      <c r="R120" s="2" t="s">
        <v>48</v>
      </c>
      <c r="S120" s="2" t="s">
        <v>27</v>
      </c>
    </row>
    <row r="121" spans="1:19" ht="14.25" customHeight="1" x14ac:dyDescent="0.2">
      <c r="A121" s="2">
        <v>13121</v>
      </c>
      <c r="B121" s="2" t="s">
        <v>32</v>
      </c>
      <c r="C121" s="2" t="s">
        <v>347</v>
      </c>
      <c r="D121" s="2" t="s">
        <v>348</v>
      </c>
      <c r="E121" s="3" t="str">
        <f t="shared" si="0"/>
        <v>MRS. LATASHA JIMENEZ</v>
      </c>
      <c r="F121" s="7">
        <v>23823</v>
      </c>
      <c r="G121" s="3">
        <f t="shared" si="1"/>
        <v>1965</v>
      </c>
      <c r="H121" s="2" t="s">
        <v>23</v>
      </c>
      <c r="I121" s="3" t="str">
        <f t="shared" si="2"/>
        <v>Married</v>
      </c>
      <c r="J121" s="2" t="s">
        <v>35</v>
      </c>
      <c r="K121" s="3" t="str">
        <f t="shared" si="3"/>
        <v>Female</v>
      </c>
      <c r="L121" s="2" t="s">
        <v>349</v>
      </c>
      <c r="M121" s="3" t="str">
        <f t="shared" si="4"/>
        <v>latasha5</v>
      </c>
      <c r="N121" s="4">
        <v>80000</v>
      </c>
      <c r="O121" s="6" t="str">
        <f t="shared" si="5"/>
        <v>Average</v>
      </c>
      <c r="P121" s="2">
        <v>5</v>
      </c>
      <c r="Q121" s="2" t="s">
        <v>47</v>
      </c>
      <c r="R121" s="2" t="s">
        <v>48</v>
      </c>
      <c r="S121" s="2" t="s">
        <v>27</v>
      </c>
    </row>
    <row r="122" spans="1:19" ht="14.25" customHeight="1" x14ac:dyDescent="0.2">
      <c r="A122" s="2">
        <v>13122</v>
      </c>
      <c r="B122" s="2" t="s">
        <v>43</v>
      </c>
      <c r="C122" s="2" t="s">
        <v>350</v>
      </c>
      <c r="D122" s="2" t="s">
        <v>351</v>
      </c>
      <c r="E122" s="3" t="str">
        <f t="shared" si="0"/>
        <v>MS. CATHERINE COX</v>
      </c>
      <c r="F122" s="7">
        <v>23956</v>
      </c>
      <c r="G122" s="3">
        <f t="shared" si="1"/>
        <v>1965</v>
      </c>
      <c r="H122" s="2" t="s">
        <v>23</v>
      </c>
      <c r="I122" s="3" t="str">
        <f t="shared" si="2"/>
        <v>Married</v>
      </c>
      <c r="J122" s="2" t="s">
        <v>35</v>
      </c>
      <c r="K122" s="3" t="str">
        <f t="shared" si="3"/>
        <v>Female</v>
      </c>
      <c r="L122" s="2" t="s">
        <v>352</v>
      </c>
      <c r="M122" s="3" t="str">
        <f t="shared" si="4"/>
        <v>catherine9</v>
      </c>
      <c r="N122" s="4">
        <v>80000</v>
      </c>
      <c r="O122" s="6" t="str">
        <f t="shared" si="5"/>
        <v>Average</v>
      </c>
      <c r="P122" s="2">
        <v>0</v>
      </c>
      <c r="Q122" s="2" t="s">
        <v>47</v>
      </c>
      <c r="R122" s="2" t="s">
        <v>48</v>
      </c>
      <c r="S122" s="2" t="s">
        <v>27</v>
      </c>
    </row>
    <row r="123" spans="1:19" ht="14.25" customHeight="1" x14ac:dyDescent="0.2">
      <c r="A123" s="2">
        <v>13123</v>
      </c>
      <c r="B123" s="2" t="s">
        <v>43</v>
      </c>
      <c r="C123" s="2" t="s">
        <v>353</v>
      </c>
      <c r="D123" s="2" t="s">
        <v>309</v>
      </c>
      <c r="E123" s="3" t="str">
        <f t="shared" si="0"/>
        <v>MS. KELLI RAJI</v>
      </c>
      <c r="F123" s="7">
        <v>23501</v>
      </c>
      <c r="G123" s="3">
        <f t="shared" si="1"/>
        <v>1964</v>
      </c>
      <c r="H123" s="2" t="s">
        <v>22</v>
      </c>
      <c r="I123" s="3" t="str">
        <f t="shared" si="2"/>
        <v>Single</v>
      </c>
      <c r="J123" s="2" t="s">
        <v>35</v>
      </c>
      <c r="K123" s="3" t="str">
        <f t="shared" si="3"/>
        <v>Female</v>
      </c>
      <c r="L123" s="2" t="s">
        <v>354</v>
      </c>
      <c r="M123" s="3" t="str">
        <f t="shared" si="4"/>
        <v>kelli44</v>
      </c>
      <c r="N123" s="4">
        <v>70000</v>
      </c>
      <c r="O123" s="6" t="str">
        <f t="shared" si="5"/>
        <v>Average</v>
      </c>
      <c r="P123" s="2">
        <v>0</v>
      </c>
      <c r="Q123" s="2" t="s">
        <v>47</v>
      </c>
      <c r="R123" s="2" t="s">
        <v>48</v>
      </c>
      <c r="S123" s="2" t="s">
        <v>31</v>
      </c>
    </row>
    <row r="124" spans="1:19" ht="14.25" customHeight="1" x14ac:dyDescent="0.2">
      <c r="A124" s="2">
        <v>13124</v>
      </c>
      <c r="B124" s="2" t="s">
        <v>19</v>
      </c>
      <c r="C124" s="2" t="s">
        <v>355</v>
      </c>
      <c r="D124" s="2" t="s">
        <v>356</v>
      </c>
      <c r="E124" s="3" t="str">
        <f t="shared" si="0"/>
        <v>MR. MARCO VANCE</v>
      </c>
      <c r="F124" s="7">
        <v>23437</v>
      </c>
      <c r="G124" s="3">
        <f t="shared" si="1"/>
        <v>1964</v>
      </c>
      <c r="H124" s="2" t="s">
        <v>22</v>
      </c>
      <c r="I124" s="3" t="str">
        <f t="shared" si="2"/>
        <v>Single</v>
      </c>
      <c r="J124" s="2" t="s">
        <v>23</v>
      </c>
      <c r="K124" s="3" t="str">
        <f t="shared" si="3"/>
        <v>Male</v>
      </c>
      <c r="L124" s="2" t="s">
        <v>357</v>
      </c>
      <c r="M124" s="3" t="str">
        <f t="shared" si="4"/>
        <v>marco4</v>
      </c>
      <c r="N124" s="4">
        <v>70000</v>
      </c>
      <c r="O124" s="6" t="str">
        <f t="shared" si="5"/>
        <v>Average</v>
      </c>
      <c r="P124" s="2">
        <v>0</v>
      </c>
      <c r="Q124" s="2" t="s">
        <v>47</v>
      </c>
      <c r="R124" s="2" t="s">
        <v>48</v>
      </c>
      <c r="S124" s="2" t="s">
        <v>31</v>
      </c>
    </row>
    <row r="125" spans="1:19" ht="14.25" customHeight="1" x14ac:dyDescent="0.2">
      <c r="A125" s="2">
        <v>13125</v>
      </c>
      <c r="B125" s="2" t="s">
        <v>19</v>
      </c>
      <c r="C125" s="2" t="s">
        <v>246</v>
      </c>
      <c r="D125" s="2" t="s">
        <v>65</v>
      </c>
      <c r="E125" s="3" t="str">
        <f t="shared" si="0"/>
        <v>MR. ALEJANDRO HU</v>
      </c>
      <c r="F125" s="7">
        <v>23566</v>
      </c>
      <c r="G125" s="3">
        <f t="shared" si="1"/>
        <v>1964</v>
      </c>
      <c r="H125" s="2" t="s">
        <v>22</v>
      </c>
      <c r="I125" s="3" t="str">
        <f t="shared" si="2"/>
        <v>Single</v>
      </c>
      <c r="J125" s="2" t="s">
        <v>23</v>
      </c>
      <c r="K125" s="3" t="str">
        <f t="shared" si="3"/>
        <v>Male</v>
      </c>
      <c r="L125" s="2" t="s">
        <v>358</v>
      </c>
      <c r="M125" s="3" t="str">
        <f t="shared" si="4"/>
        <v>alejandro23</v>
      </c>
      <c r="N125" s="4">
        <v>70000</v>
      </c>
      <c r="O125" s="6" t="str">
        <f t="shared" si="5"/>
        <v>Average</v>
      </c>
      <c r="P125" s="2">
        <v>0</v>
      </c>
      <c r="Q125" s="2" t="s">
        <v>47</v>
      </c>
      <c r="R125" s="2" t="s">
        <v>48</v>
      </c>
      <c r="S125" s="2" t="s">
        <v>31</v>
      </c>
    </row>
    <row r="126" spans="1:19" ht="14.25" customHeight="1" x14ac:dyDescent="0.2">
      <c r="A126" s="2">
        <v>13126</v>
      </c>
      <c r="B126" s="2" t="s">
        <v>43</v>
      </c>
      <c r="C126" s="2" t="s">
        <v>359</v>
      </c>
      <c r="D126" s="2" t="s">
        <v>360</v>
      </c>
      <c r="E126" s="3" t="str">
        <f t="shared" si="0"/>
        <v>MS. LYDIA SURI</v>
      </c>
      <c r="F126" s="7">
        <v>23411</v>
      </c>
      <c r="G126" s="3">
        <f t="shared" si="1"/>
        <v>1964</v>
      </c>
      <c r="H126" s="2" t="s">
        <v>22</v>
      </c>
      <c r="I126" s="3" t="str">
        <f t="shared" si="2"/>
        <v>Single</v>
      </c>
      <c r="J126" s="2" t="s">
        <v>35</v>
      </c>
      <c r="K126" s="3" t="str">
        <f t="shared" si="3"/>
        <v>Female</v>
      </c>
      <c r="L126" s="2" t="s">
        <v>361</v>
      </c>
      <c r="M126" s="3" t="str">
        <f t="shared" si="4"/>
        <v>lydia0</v>
      </c>
      <c r="N126" s="4">
        <v>70000</v>
      </c>
      <c r="O126" s="6" t="str">
        <f t="shared" si="5"/>
        <v>Average</v>
      </c>
      <c r="P126" s="2">
        <v>0</v>
      </c>
      <c r="Q126" s="2" t="s">
        <v>47</v>
      </c>
      <c r="R126" s="2" t="s">
        <v>48</v>
      </c>
      <c r="S126" s="2" t="s">
        <v>31</v>
      </c>
    </row>
    <row r="127" spans="1:19" ht="14.25" customHeight="1" x14ac:dyDescent="0.2">
      <c r="A127" s="2">
        <v>13127</v>
      </c>
      <c r="B127" s="2" t="s">
        <v>19</v>
      </c>
      <c r="C127" s="2" t="s">
        <v>362</v>
      </c>
      <c r="D127" s="2" t="s">
        <v>363</v>
      </c>
      <c r="E127" s="3" t="str">
        <f t="shared" si="0"/>
        <v>MR. SHANE FERNANDEZ</v>
      </c>
      <c r="F127" s="7">
        <v>23721</v>
      </c>
      <c r="G127" s="3">
        <f t="shared" si="1"/>
        <v>1964</v>
      </c>
      <c r="H127" s="2" t="s">
        <v>22</v>
      </c>
      <c r="I127" s="3" t="str">
        <f t="shared" si="2"/>
        <v>Single</v>
      </c>
      <c r="J127" s="2" t="s">
        <v>23</v>
      </c>
      <c r="K127" s="3" t="str">
        <f t="shared" si="3"/>
        <v>Male</v>
      </c>
      <c r="L127" s="2" t="s">
        <v>364</v>
      </c>
      <c r="M127" s="3" t="str">
        <f t="shared" si="4"/>
        <v>shane18</v>
      </c>
      <c r="N127" s="4">
        <v>70000</v>
      </c>
      <c r="O127" s="6" t="str">
        <f t="shared" si="5"/>
        <v>Average</v>
      </c>
      <c r="P127" s="2">
        <v>0</v>
      </c>
      <c r="Q127" s="2" t="s">
        <v>47</v>
      </c>
      <c r="R127" s="2" t="s">
        <v>48</v>
      </c>
      <c r="S127" s="2" t="s">
        <v>31</v>
      </c>
    </row>
    <row r="128" spans="1:19" ht="14.25" customHeight="1" x14ac:dyDescent="0.2">
      <c r="A128" s="2">
        <v>13128</v>
      </c>
      <c r="B128" s="2" t="s">
        <v>43</v>
      </c>
      <c r="C128" s="2" t="s">
        <v>110</v>
      </c>
      <c r="D128" s="2" t="s">
        <v>365</v>
      </c>
      <c r="E128" s="3" t="str">
        <f t="shared" si="0"/>
        <v>MS. COLLEEN WEST</v>
      </c>
      <c r="F128" s="7">
        <v>23490</v>
      </c>
      <c r="G128" s="3">
        <f t="shared" si="1"/>
        <v>1964</v>
      </c>
      <c r="H128" s="2" t="s">
        <v>22</v>
      </c>
      <c r="I128" s="3" t="str">
        <f t="shared" si="2"/>
        <v>Single</v>
      </c>
      <c r="J128" s="2" t="s">
        <v>35</v>
      </c>
      <c r="K128" s="3" t="str">
        <f t="shared" si="3"/>
        <v>Female</v>
      </c>
      <c r="L128" s="2" t="s">
        <v>366</v>
      </c>
      <c r="M128" s="3" t="str">
        <f t="shared" si="4"/>
        <v>colleen1</v>
      </c>
      <c r="N128" s="4">
        <v>70000</v>
      </c>
      <c r="O128" s="6" t="str">
        <f t="shared" si="5"/>
        <v>Average</v>
      </c>
      <c r="P128" s="2">
        <v>0</v>
      </c>
      <c r="Q128" s="2" t="s">
        <v>47</v>
      </c>
      <c r="R128" s="2" t="s">
        <v>48</v>
      </c>
      <c r="S128" s="2" t="s">
        <v>31</v>
      </c>
    </row>
    <row r="129" spans="1:19" ht="14.25" customHeight="1" x14ac:dyDescent="0.2">
      <c r="A129" s="2">
        <v>13129</v>
      </c>
      <c r="B129" s="2" t="s">
        <v>43</v>
      </c>
      <c r="C129" s="2" t="s">
        <v>367</v>
      </c>
      <c r="D129" s="2" t="s">
        <v>368</v>
      </c>
      <c r="E129" s="3" t="str">
        <f t="shared" si="0"/>
        <v>MS. JOY RAMOS</v>
      </c>
      <c r="F129" s="7">
        <v>23529</v>
      </c>
      <c r="G129" s="3">
        <f t="shared" si="1"/>
        <v>1964</v>
      </c>
      <c r="H129" s="2" t="s">
        <v>22</v>
      </c>
      <c r="I129" s="3" t="str">
        <f t="shared" si="2"/>
        <v>Single</v>
      </c>
      <c r="J129" s="2" t="s">
        <v>35</v>
      </c>
      <c r="K129" s="3" t="str">
        <f t="shared" si="3"/>
        <v>Female</v>
      </c>
      <c r="L129" s="2" t="s">
        <v>369</v>
      </c>
      <c r="M129" s="3" t="str">
        <f t="shared" si="4"/>
        <v>joy16</v>
      </c>
      <c r="N129" s="4">
        <v>70000</v>
      </c>
      <c r="O129" s="6" t="str">
        <f t="shared" si="5"/>
        <v>Average</v>
      </c>
      <c r="P129" s="2">
        <v>0</v>
      </c>
      <c r="Q129" s="2" t="s">
        <v>47</v>
      </c>
      <c r="R129" s="2" t="s">
        <v>48</v>
      </c>
      <c r="S129" s="2" t="s">
        <v>27</v>
      </c>
    </row>
    <row r="130" spans="1:19" ht="14.25" customHeight="1" x14ac:dyDescent="0.2">
      <c r="A130" s="2">
        <v>13130</v>
      </c>
      <c r="B130" s="2" t="s">
        <v>19</v>
      </c>
      <c r="C130" s="2" t="s">
        <v>116</v>
      </c>
      <c r="D130" s="2" t="s">
        <v>370</v>
      </c>
      <c r="E130" s="3" t="str">
        <f t="shared" si="0"/>
        <v>MR. DALTON MILLER</v>
      </c>
      <c r="F130" s="7">
        <v>21849</v>
      </c>
      <c r="G130" s="3">
        <f t="shared" si="1"/>
        <v>1959</v>
      </c>
      <c r="H130" s="2" t="s">
        <v>23</v>
      </c>
      <c r="I130" s="3" t="str">
        <f t="shared" si="2"/>
        <v>Married</v>
      </c>
      <c r="J130" s="2" t="s">
        <v>23</v>
      </c>
      <c r="K130" s="3" t="str">
        <f t="shared" si="3"/>
        <v>Male</v>
      </c>
      <c r="L130" s="2" t="s">
        <v>371</v>
      </c>
      <c r="M130" s="3" t="str">
        <f t="shared" si="4"/>
        <v>dalton5</v>
      </c>
      <c r="N130" s="4">
        <v>90000</v>
      </c>
      <c r="O130" s="6" t="str">
        <f t="shared" si="5"/>
        <v>Average</v>
      </c>
      <c r="P130" s="2">
        <v>1</v>
      </c>
      <c r="Q130" s="2" t="s">
        <v>47</v>
      </c>
      <c r="R130" s="2" t="s">
        <v>48</v>
      </c>
      <c r="S130" s="2" t="s">
        <v>27</v>
      </c>
    </row>
    <row r="131" spans="1:19" ht="14.25" customHeight="1" x14ac:dyDescent="0.2">
      <c r="A131" s="2">
        <v>13131</v>
      </c>
      <c r="B131" s="2" t="s">
        <v>32</v>
      </c>
      <c r="C131" s="2" t="s">
        <v>372</v>
      </c>
      <c r="D131" s="2" t="s">
        <v>96</v>
      </c>
      <c r="E131" s="3" t="str">
        <f t="shared" si="0"/>
        <v>MRS. BRIANA DIAZ</v>
      </c>
      <c r="F131" s="7">
        <v>21794</v>
      </c>
      <c r="G131" s="3">
        <f t="shared" si="1"/>
        <v>1959</v>
      </c>
      <c r="H131" s="2" t="s">
        <v>23</v>
      </c>
      <c r="I131" s="3" t="str">
        <f t="shared" si="2"/>
        <v>Married</v>
      </c>
      <c r="J131" s="2" t="s">
        <v>35</v>
      </c>
      <c r="K131" s="3" t="str">
        <f t="shared" si="3"/>
        <v>Female</v>
      </c>
      <c r="L131" s="2" t="s">
        <v>373</v>
      </c>
      <c r="M131" s="3" t="str">
        <f t="shared" si="4"/>
        <v>briana3</v>
      </c>
      <c r="N131" s="4">
        <v>90000</v>
      </c>
      <c r="O131" s="6" t="str">
        <f t="shared" si="5"/>
        <v>Average</v>
      </c>
      <c r="P131" s="2">
        <v>1</v>
      </c>
      <c r="Q131" s="2" t="s">
        <v>47</v>
      </c>
      <c r="R131" s="2" t="s">
        <v>48</v>
      </c>
      <c r="S131" s="2" t="s">
        <v>27</v>
      </c>
    </row>
    <row r="132" spans="1:19" ht="14.25" customHeight="1" x14ac:dyDescent="0.2">
      <c r="A132" s="2">
        <v>13132</v>
      </c>
      <c r="B132" s="2" t="s">
        <v>19</v>
      </c>
      <c r="C132" s="2" t="s">
        <v>374</v>
      </c>
      <c r="D132" s="2" t="s">
        <v>169</v>
      </c>
      <c r="E132" s="3" t="str">
        <f t="shared" si="0"/>
        <v>MR. CASEY VAZQUEZ</v>
      </c>
      <c r="F132" s="7">
        <v>21602</v>
      </c>
      <c r="G132" s="3">
        <f t="shared" si="1"/>
        <v>1959</v>
      </c>
      <c r="H132" s="2" t="s">
        <v>22</v>
      </c>
      <c r="I132" s="3" t="str">
        <f t="shared" si="2"/>
        <v>Single</v>
      </c>
      <c r="J132" s="2" t="s">
        <v>23</v>
      </c>
      <c r="K132" s="3" t="str">
        <f t="shared" si="3"/>
        <v>Male</v>
      </c>
      <c r="L132" s="2" t="s">
        <v>375</v>
      </c>
      <c r="M132" s="3" t="str">
        <f t="shared" si="4"/>
        <v>casey38</v>
      </c>
      <c r="N132" s="4">
        <v>90000</v>
      </c>
      <c r="O132" s="6" t="str">
        <f t="shared" si="5"/>
        <v>Average</v>
      </c>
      <c r="P132" s="2">
        <v>1</v>
      </c>
      <c r="Q132" s="2" t="s">
        <v>47</v>
      </c>
      <c r="R132" s="2" t="s">
        <v>48</v>
      </c>
      <c r="S132" s="2" t="s">
        <v>27</v>
      </c>
    </row>
    <row r="133" spans="1:19" ht="14.25" customHeight="1" x14ac:dyDescent="0.2">
      <c r="A133" s="2">
        <v>13133</v>
      </c>
      <c r="B133" s="2" t="s">
        <v>19</v>
      </c>
      <c r="C133" s="2" t="s">
        <v>376</v>
      </c>
      <c r="D133" s="2" t="s">
        <v>377</v>
      </c>
      <c r="E133" s="3" t="str">
        <f t="shared" si="0"/>
        <v>MR. DEVON KENNEDY</v>
      </c>
      <c r="F133" s="7">
        <v>21781</v>
      </c>
      <c r="G133" s="3">
        <f t="shared" si="1"/>
        <v>1959</v>
      </c>
      <c r="H133" s="2" t="s">
        <v>22</v>
      </c>
      <c r="I133" s="3" t="str">
        <f t="shared" si="2"/>
        <v>Single</v>
      </c>
      <c r="J133" s="2" t="s">
        <v>23</v>
      </c>
      <c r="K133" s="3" t="str">
        <f t="shared" si="3"/>
        <v>Male</v>
      </c>
      <c r="L133" s="2" t="s">
        <v>378</v>
      </c>
      <c r="M133" s="3" t="str">
        <f t="shared" si="4"/>
        <v>devon5</v>
      </c>
      <c r="N133" s="4">
        <v>100000</v>
      </c>
      <c r="O133" s="6" t="str">
        <f t="shared" si="5"/>
        <v>Rich</v>
      </c>
      <c r="P133" s="2">
        <v>5</v>
      </c>
      <c r="Q133" s="2" t="s">
        <v>47</v>
      </c>
      <c r="R133" s="2" t="s">
        <v>48</v>
      </c>
      <c r="S133" s="2" t="s">
        <v>27</v>
      </c>
    </row>
    <row r="134" spans="1:19" ht="14.25" customHeight="1" x14ac:dyDescent="0.2">
      <c r="A134" s="2">
        <v>13134</v>
      </c>
      <c r="B134" s="2" t="s">
        <v>32</v>
      </c>
      <c r="C134" s="2" t="s">
        <v>379</v>
      </c>
      <c r="D134" s="2" t="s">
        <v>193</v>
      </c>
      <c r="E134" s="3" t="str">
        <f t="shared" si="0"/>
        <v>MRS. SARA MORGAN</v>
      </c>
      <c r="F134" s="7">
        <v>12540</v>
      </c>
      <c r="G134" s="3">
        <f t="shared" si="1"/>
        <v>1934</v>
      </c>
      <c r="H134" s="2" t="s">
        <v>22</v>
      </c>
      <c r="I134" s="3" t="str">
        <f t="shared" si="2"/>
        <v>Single</v>
      </c>
      <c r="J134" s="2" t="s">
        <v>35</v>
      </c>
      <c r="K134" s="3" t="str">
        <f t="shared" si="3"/>
        <v>Female</v>
      </c>
      <c r="L134" s="2" t="s">
        <v>380</v>
      </c>
      <c r="M134" s="3" t="str">
        <f t="shared" si="4"/>
        <v>sara24</v>
      </c>
      <c r="N134" s="4">
        <v>50000</v>
      </c>
      <c r="O134" s="6" t="str">
        <f t="shared" si="5"/>
        <v>Average</v>
      </c>
      <c r="P134" s="2">
        <v>1</v>
      </c>
      <c r="Q134" s="2" t="s">
        <v>25</v>
      </c>
      <c r="R134" s="2" t="s">
        <v>26</v>
      </c>
      <c r="S134" s="2" t="s">
        <v>27</v>
      </c>
    </row>
    <row r="135" spans="1:19" ht="14.25" customHeight="1" x14ac:dyDescent="0.2">
      <c r="A135" s="2">
        <v>13135</v>
      </c>
      <c r="B135" s="2" t="s">
        <v>19</v>
      </c>
      <c r="C135" s="2" t="s">
        <v>381</v>
      </c>
      <c r="D135" s="2" t="s">
        <v>382</v>
      </c>
      <c r="E135" s="3" t="str">
        <f t="shared" si="0"/>
        <v>MR. JOHNNY RAI</v>
      </c>
      <c r="F135" s="7">
        <v>21035</v>
      </c>
      <c r="G135" s="3">
        <f t="shared" si="1"/>
        <v>1957</v>
      </c>
      <c r="H135" s="2" t="s">
        <v>22</v>
      </c>
      <c r="I135" s="3" t="str">
        <f t="shared" si="2"/>
        <v>Single</v>
      </c>
      <c r="J135" s="2" t="s">
        <v>23</v>
      </c>
      <c r="K135" s="3" t="str">
        <f t="shared" si="3"/>
        <v>Male</v>
      </c>
      <c r="L135" s="2" t="s">
        <v>383</v>
      </c>
      <c r="M135" s="3" t="str">
        <f t="shared" si="4"/>
        <v>johnny19</v>
      </c>
      <c r="N135" s="4">
        <v>80000</v>
      </c>
      <c r="O135" s="6" t="str">
        <f t="shared" si="5"/>
        <v>Average</v>
      </c>
      <c r="P135" s="2">
        <v>1</v>
      </c>
      <c r="Q135" s="2" t="s">
        <v>81</v>
      </c>
      <c r="R135" s="2" t="s">
        <v>82</v>
      </c>
      <c r="S135" s="2" t="s">
        <v>27</v>
      </c>
    </row>
    <row r="136" spans="1:19" ht="14.25" customHeight="1" x14ac:dyDescent="0.2">
      <c r="A136" s="2">
        <v>13136</v>
      </c>
      <c r="B136" s="2" t="s">
        <v>32</v>
      </c>
      <c r="C136" s="2" t="s">
        <v>139</v>
      </c>
      <c r="D136" s="2" t="s">
        <v>384</v>
      </c>
      <c r="E136" s="3" t="str">
        <f t="shared" si="0"/>
        <v>MRS. VIRGINIA MARTINEZ</v>
      </c>
      <c r="F136" s="7">
        <v>13466</v>
      </c>
      <c r="G136" s="3">
        <f t="shared" si="1"/>
        <v>1936</v>
      </c>
      <c r="H136" s="2" t="s">
        <v>23</v>
      </c>
      <c r="I136" s="3" t="str">
        <f t="shared" si="2"/>
        <v>Married</v>
      </c>
      <c r="J136" s="2" t="s">
        <v>35</v>
      </c>
      <c r="K136" s="3" t="str">
        <f t="shared" si="3"/>
        <v>Female</v>
      </c>
      <c r="L136" s="2" t="s">
        <v>385</v>
      </c>
      <c r="M136" s="3" t="str">
        <f t="shared" si="4"/>
        <v>virginia20</v>
      </c>
      <c r="N136" s="4">
        <v>30000</v>
      </c>
      <c r="O136" s="6" t="str">
        <f t="shared" si="5"/>
        <v>Poor</v>
      </c>
      <c r="P136" s="2">
        <v>2</v>
      </c>
      <c r="Q136" s="2" t="s">
        <v>81</v>
      </c>
      <c r="R136" s="2" t="s">
        <v>94</v>
      </c>
      <c r="S136" s="2" t="s">
        <v>31</v>
      </c>
    </row>
    <row r="137" spans="1:19" ht="14.25" customHeight="1" x14ac:dyDescent="0.2">
      <c r="A137" s="2">
        <v>13137</v>
      </c>
      <c r="B137" s="2" t="s">
        <v>32</v>
      </c>
      <c r="C137" s="2" t="s">
        <v>386</v>
      </c>
      <c r="D137" s="2" t="s">
        <v>387</v>
      </c>
      <c r="E137" s="3" t="str">
        <f t="shared" si="0"/>
        <v>MRS. JACQUELINE SIMMONS</v>
      </c>
      <c r="F137" s="7">
        <v>21955</v>
      </c>
      <c r="G137" s="3">
        <f t="shared" si="1"/>
        <v>1960</v>
      </c>
      <c r="H137" s="2" t="s">
        <v>23</v>
      </c>
      <c r="I137" s="3" t="str">
        <f t="shared" si="2"/>
        <v>Married</v>
      </c>
      <c r="J137" s="2" t="s">
        <v>35</v>
      </c>
      <c r="K137" s="3" t="str">
        <f t="shared" si="3"/>
        <v>Female</v>
      </c>
      <c r="L137" s="2" t="s">
        <v>388</v>
      </c>
      <c r="M137" s="3" t="str">
        <f t="shared" si="4"/>
        <v>jacqueline16</v>
      </c>
      <c r="N137" s="4">
        <v>70000</v>
      </c>
      <c r="O137" s="6" t="str">
        <f t="shared" si="5"/>
        <v>Average</v>
      </c>
      <c r="P137" s="2">
        <v>5</v>
      </c>
      <c r="Q137" s="2" t="s">
        <v>81</v>
      </c>
      <c r="R137" s="2" t="s">
        <v>82</v>
      </c>
      <c r="S137" s="2" t="s">
        <v>31</v>
      </c>
    </row>
    <row r="138" spans="1:19" ht="14.25" customHeight="1" x14ac:dyDescent="0.2">
      <c r="A138" s="2">
        <v>13138</v>
      </c>
      <c r="C138" s="2" t="s">
        <v>389</v>
      </c>
      <c r="D138" s="2" t="s">
        <v>390</v>
      </c>
      <c r="E138" s="3" t="str">
        <f t="shared" si="0"/>
        <v xml:space="preserve"> TERESA ALONSO</v>
      </c>
      <c r="F138" s="7">
        <v>22078</v>
      </c>
      <c r="G138" s="3">
        <f t="shared" si="1"/>
        <v>1960</v>
      </c>
      <c r="H138" s="2" t="s">
        <v>23</v>
      </c>
      <c r="I138" s="3" t="str">
        <f t="shared" si="2"/>
        <v>Married</v>
      </c>
      <c r="J138" s="2" t="s">
        <v>391</v>
      </c>
      <c r="K138" s="3" t="str">
        <f t="shared" si="3"/>
        <v>Female</v>
      </c>
      <c r="L138" s="2" t="s">
        <v>392</v>
      </c>
      <c r="M138" s="3" t="str">
        <f t="shared" si="4"/>
        <v>teresa8</v>
      </c>
      <c r="N138" s="4">
        <v>70000</v>
      </c>
      <c r="O138" s="6" t="str">
        <f t="shared" si="5"/>
        <v>Average</v>
      </c>
      <c r="P138" s="2">
        <v>5</v>
      </c>
      <c r="Q138" s="2" t="s">
        <v>81</v>
      </c>
      <c r="R138" s="2" t="s">
        <v>82</v>
      </c>
      <c r="S138" s="2" t="s">
        <v>27</v>
      </c>
    </row>
    <row r="139" spans="1:19" ht="14.25" customHeight="1" x14ac:dyDescent="0.2">
      <c r="A139" s="2">
        <v>13139</v>
      </c>
      <c r="B139" s="2" t="s">
        <v>32</v>
      </c>
      <c r="C139" s="2" t="s">
        <v>393</v>
      </c>
      <c r="D139" s="2" t="s">
        <v>303</v>
      </c>
      <c r="E139" s="3" t="str">
        <f t="shared" si="0"/>
        <v>MRS. CARMEN PEREZ</v>
      </c>
      <c r="F139" s="7">
        <v>20494</v>
      </c>
      <c r="G139" s="3">
        <f t="shared" si="1"/>
        <v>1956</v>
      </c>
      <c r="H139" s="2" t="s">
        <v>22</v>
      </c>
      <c r="I139" s="3" t="str">
        <f t="shared" si="2"/>
        <v>Single</v>
      </c>
      <c r="J139" s="2" t="s">
        <v>35</v>
      </c>
      <c r="K139" s="3" t="str">
        <f t="shared" si="3"/>
        <v>Female</v>
      </c>
      <c r="L139" s="2" t="s">
        <v>394</v>
      </c>
      <c r="M139" s="3" t="str">
        <f t="shared" si="4"/>
        <v>carmen3</v>
      </c>
      <c r="N139" s="4">
        <v>70000</v>
      </c>
      <c r="O139" s="6" t="str">
        <f t="shared" si="5"/>
        <v>Average</v>
      </c>
      <c r="P139" s="2">
        <v>1</v>
      </c>
      <c r="Q139" s="2" t="s">
        <v>81</v>
      </c>
      <c r="R139" s="2" t="s">
        <v>82</v>
      </c>
      <c r="S139" s="2" t="s">
        <v>31</v>
      </c>
    </row>
    <row r="140" spans="1:19" ht="14.25" customHeight="1" x14ac:dyDescent="0.2">
      <c r="A140" s="2">
        <v>13141</v>
      </c>
      <c r="B140" s="2" t="s">
        <v>19</v>
      </c>
      <c r="C140" s="2" t="s">
        <v>395</v>
      </c>
      <c r="D140" s="2" t="s">
        <v>34</v>
      </c>
      <c r="E140" s="3" t="str">
        <f t="shared" si="0"/>
        <v>MR. WALTER HERNANDEZ</v>
      </c>
      <c r="F140" s="7">
        <v>19640</v>
      </c>
      <c r="G140" s="3">
        <f t="shared" si="1"/>
        <v>1953</v>
      </c>
      <c r="H140" s="2" t="s">
        <v>23</v>
      </c>
      <c r="I140" s="3" t="str">
        <f t="shared" si="2"/>
        <v>Married</v>
      </c>
      <c r="J140" s="2" t="s">
        <v>23</v>
      </c>
      <c r="K140" s="3" t="str">
        <f t="shared" si="3"/>
        <v>Male</v>
      </c>
      <c r="L140" s="2" t="s">
        <v>396</v>
      </c>
      <c r="M140" s="3" t="str">
        <f t="shared" si="4"/>
        <v>walter16</v>
      </c>
      <c r="N140" s="4">
        <v>40000</v>
      </c>
      <c r="O140" s="6" t="str">
        <f t="shared" si="5"/>
        <v>Poor</v>
      </c>
      <c r="P140" s="2">
        <v>2</v>
      </c>
      <c r="Q140" s="2" t="s">
        <v>47</v>
      </c>
      <c r="R140" s="2" t="s">
        <v>26</v>
      </c>
      <c r="S140" s="2" t="s">
        <v>27</v>
      </c>
    </row>
    <row r="141" spans="1:19" ht="14.25" customHeight="1" x14ac:dyDescent="0.2">
      <c r="A141" s="2">
        <v>13142</v>
      </c>
      <c r="B141" s="2" t="s">
        <v>19</v>
      </c>
      <c r="C141" s="2" t="s">
        <v>78</v>
      </c>
      <c r="D141" s="2" t="s">
        <v>397</v>
      </c>
      <c r="E141" s="3" t="str">
        <f t="shared" si="0"/>
        <v>MR. XAVIER MOORE</v>
      </c>
      <c r="F141" s="7">
        <v>27476</v>
      </c>
      <c r="G141" s="3">
        <f t="shared" si="1"/>
        <v>1975</v>
      </c>
      <c r="H141" s="2" t="s">
        <v>23</v>
      </c>
      <c r="I141" s="3" t="str">
        <f t="shared" si="2"/>
        <v>Married</v>
      </c>
      <c r="J141" s="2" t="s">
        <v>23</v>
      </c>
      <c r="K141" s="3" t="str">
        <f t="shared" si="3"/>
        <v>Male</v>
      </c>
      <c r="L141" s="2" t="s">
        <v>398</v>
      </c>
      <c r="M141" s="3" t="str">
        <f t="shared" si="4"/>
        <v>xavier6</v>
      </c>
      <c r="N141" s="4">
        <v>40000</v>
      </c>
      <c r="O141" s="6" t="str">
        <f t="shared" si="5"/>
        <v>Poor</v>
      </c>
      <c r="P141" s="2">
        <v>0</v>
      </c>
      <c r="Q141" s="2" t="s">
        <v>86</v>
      </c>
      <c r="R141" s="2" t="s">
        <v>82</v>
      </c>
      <c r="S141" s="2" t="s">
        <v>27</v>
      </c>
    </row>
    <row r="142" spans="1:19" ht="14.25" customHeight="1" x14ac:dyDescent="0.2">
      <c r="A142" s="2">
        <v>13143</v>
      </c>
      <c r="B142" s="2" t="s">
        <v>43</v>
      </c>
      <c r="C142" s="2" t="s">
        <v>325</v>
      </c>
      <c r="D142" s="2" t="s">
        <v>399</v>
      </c>
      <c r="E142" s="3" t="str">
        <f t="shared" si="0"/>
        <v>MS. HANNAH JACKSON</v>
      </c>
      <c r="F142" s="7">
        <v>27431</v>
      </c>
      <c r="G142" s="3">
        <f t="shared" si="1"/>
        <v>1975</v>
      </c>
      <c r="H142" s="2" t="s">
        <v>23</v>
      </c>
      <c r="I142" s="3" t="str">
        <f t="shared" si="2"/>
        <v>Married</v>
      </c>
      <c r="J142" s="2" t="s">
        <v>35</v>
      </c>
      <c r="K142" s="3" t="str">
        <f t="shared" si="3"/>
        <v>Female</v>
      </c>
      <c r="L142" s="2" t="s">
        <v>400</v>
      </c>
      <c r="M142" s="3" t="str">
        <f t="shared" si="4"/>
        <v>hannah11</v>
      </c>
      <c r="N142" s="4">
        <v>40000</v>
      </c>
      <c r="O142" s="6" t="str">
        <f t="shared" si="5"/>
        <v>Poor</v>
      </c>
      <c r="P142" s="2">
        <v>0</v>
      </c>
      <c r="Q142" s="2" t="s">
        <v>86</v>
      </c>
      <c r="R142" s="2" t="s">
        <v>82</v>
      </c>
      <c r="S142" s="2" t="s">
        <v>27</v>
      </c>
    </row>
    <row r="143" spans="1:19" ht="14.25" customHeight="1" x14ac:dyDescent="0.2">
      <c r="A143" s="2">
        <v>13144</v>
      </c>
      <c r="B143" s="2" t="s">
        <v>43</v>
      </c>
      <c r="C143" s="2" t="s">
        <v>87</v>
      </c>
      <c r="D143" s="2" t="s">
        <v>401</v>
      </c>
      <c r="E143" s="3" t="str">
        <f t="shared" si="0"/>
        <v>MS. DESTINY STEWART</v>
      </c>
      <c r="F143" s="7">
        <v>27999</v>
      </c>
      <c r="G143" s="3">
        <f t="shared" si="1"/>
        <v>1976</v>
      </c>
      <c r="H143" s="2" t="s">
        <v>22</v>
      </c>
      <c r="I143" s="3" t="str">
        <f t="shared" si="2"/>
        <v>Single</v>
      </c>
      <c r="J143" s="2" t="s">
        <v>35</v>
      </c>
      <c r="K143" s="3" t="str">
        <f t="shared" si="3"/>
        <v>Female</v>
      </c>
      <c r="L143" s="2" t="s">
        <v>402</v>
      </c>
      <c r="M143" s="3" t="str">
        <f t="shared" si="4"/>
        <v>destiny23</v>
      </c>
      <c r="N143" s="4">
        <v>40000</v>
      </c>
      <c r="O143" s="6" t="str">
        <f t="shared" si="5"/>
        <v>Poor</v>
      </c>
      <c r="P143" s="2">
        <v>0</v>
      </c>
      <c r="Q143" s="2" t="s">
        <v>86</v>
      </c>
      <c r="R143" s="2" t="s">
        <v>82</v>
      </c>
      <c r="S143" s="2" t="s">
        <v>31</v>
      </c>
    </row>
    <row r="144" spans="1:19" ht="14.25" customHeight="1" x14ac:dyDescent="0.2">
      <c r="A144" s="2">
        <v>13145</v>
      </c>
      <c r="B144" s="2" t="s">
        <v>19</v>
      </c>
      <c r="C144" s="2" t="s">
        <v>403</v>
      </c>
      <c r="D144" s="2" t="s">
        <v>404</v>
      </c>
      <c r="E144" s="3" t="str">
        <f t="shared" si="0"/>
        <v>MR. GILBERT XU</v>
      </c>
      <c r="F144" s="7">
        <v>27781</v>
      </c>
      <c r="G144" s="3">
        <f t="shared" si="1"/>
        <v>1976</v>
      </c>
      <c r="H144" s="2" t="s">
        <v>23</v>
      </c>
      <c r="I144" s="3" t="str">
        <f t="shared" si="2"/>
        <v>Married</v>
      </c>
      <c r="J144" s="2" t="s">
        <v>23</v>
      </c>
      <c r="K144" s="3" t="str">
        <f t="shared" si="3"/>
        <v>Male</v>
      </c>
      <c r="L144" s="2" t="s">
        <v>405</v>
      </c>
      <c r="M144" s="3" t="str">
        <f t="shared" si="4"/>
        <v>gilbert9</v>
      </c>
      <c r="N144" s="4">
        <v>40000</v>
      </c>
      <c r="O144" s="6" t="str">
        <f t="shared" si="5"/>
        <v>Poor</v>
      </c>
      <c r="P144" s="2">
        <v>0</v>
      </c>
      <c r="Q144" s="2" t="s">
        <v>86</v>
      </c>
      <c r="R144" s="2" t="s">
        <v>82</v>
      </c>
      <c r="S144" s="2" t="s">
        <v>27</v>
      </c>
    </row>
    <row r="145" spans="1:19" ht="14.25" customHeight="1" x14ac:dyDescent="0.2">
      <c r="A145" s="2">
        <v>13146</v>
      </c>
      <c r="B145" s="2" t="s">
        <v>43</v>
      </c>
      <c r="C145" s="2" t="s">
        <v>406</v>
      </c>
      <c r="D145" s="2" t="s">
        <v>407</v>
      </c>
      <c r="E145" s="3" t="str">
        <f t="shared" si="0"/>
        <v>MS. GABRIELLA RAMIREZ</v>
      </c>
      <c r="F145" s="7">
        <v>27895</v>
      </c>
      <c r="G145" s="3">
        <f t="shared" si="1"/>
        <v>1976</v>
      </c>
      <c r="H145" s="2" t="s">
        <v>22</v>
      </c>
      <c r="I145" s="3" t="str">
        <f t="shared" si="2"/>
        <v>Single</v>
      </c>
      <c r="J145" s="2" t="s">
        <v>35</v>
      </c>
      <c r="K145" s="3" t="str">
        <f t="shared" si="3"/>
        <v>Female</v>
      </c>
      <c r="L145" s="2" t="s">
        <v>408</v>
      </c>
      <c r="M145" s="3" t="str">
        <f t="shared" si="4"/>
        <v>gabriella4</v>
      </c>
      <c r="N145" s="4">
        <v>40000</v>
      </c>
      <c r="O145" s="6" t="str">
        <f t="shared" si="5"/>
        <v>Poor</v>
      </c>
      <c r="P145" s="2">
        <v>0</v>
      </c>
      <c r="Q145" s="2" t="s">
        <v>86</v>
      </c>
      <c r="R145" s="2" t="s">
        <v>82</v>
      </c>
      <c r="S145" s="2" t="s">
        <v>31</v>
      </c>
    </row>
    <row r="146" spans="1:19" ht="14.25" customHeight="1" x14ac:dyDescent="0.2">
      <c r="A146" s="2">
        <v>13147</v>
      </c>
      <c r="B146" s="2" t="s">
        <v>19</v>
      </c>
      <c r="C146" s="2" t="s">
        <v>409</v>
      </c>
      <c r="D146" s="2" t="s">
        <v>241</v>
      </c>
      <c r="E146" s="3" t="str">
        <f t="shared" si="0"/>
        <v>MR. CEDRIC LIN</v>
      </c>
      <c r="F146" s="7">
        <v>29456</v>
      </c>
      <c r="G146" s="3">
        <f t="shared" si="1"/>
        <v>1980</v>
      </c>
      <c r="H146" s="2" t="s">
        <v>23</v>
      </c>
      <c r="I146" s="3" t="str">
        <f t="shared" si="2"/>
        <v>Married</v>
      </c>
      <c r="J146" s="2" t="s">
        <v>23</v>
      </c>
      <c r="K146" s="3" t="str">
        <f t="shared" si="3"/>
        <v>Male</v>
      </c>
      <c r="L146" s="2" t="s">
        <v>410</v>
      </c>
      <c r="M146" s="3" t="str">
        <f t="shared" si="4"/>
        <v>cedric8</v>
      </c>
      <c r="N146" s="4">
        <v>30000</v>
      </c>
      <c r="O146" s="6" t="str">
        <f t="shared" si="5"/>
        <v>Poor</v>
      </c>
      <c r="P146" s="2">
        <v>0</v>
      </c>
      <c r="Q146" s="2" t="s">
        <v>86</v>
      </c>
      <c r="R146" s="2" t="s">
        <v>82</v>
      </c>
      <c r="S146" s="2" t="s">
        <v>31</v>
      </c>
    </row>
    <row r="147" spans="1:19" ht="14.25" customHeight="1" x14ac:dyDescent="0.2">
      <c r="A147" s="2">
        <v>13148</v>
      </c>
      <c r="B147" s="2" t="s">
        <v>19</v>
      </c>
      <c r="C147" s="2" t="s">
        <v>411</v>
      </c>
      <c r="D147" s="2" t="s">
        <v>207</v>
      </c>
      <c r="E147" s="3" t="str">
        <f t="shared" si="0"/>
        <v>MR. TYLER ANDERSON</v>
      </c>
      <c r="F147" s="7">
        <v>29312</v>
      </c>
      <c r="G147" s="3">
        <f t="shared" si="1"/>
        <v>1980</v>
      </c>
      <c r="H147" s="2" t="s">
        <v>23</v>
      </c>
      <c r="I147" s="3" t="str">
        <f t="shared" si="2"/>
        <v>Married</v>
      </c>
      <c r="J147" s="2" t="s">
        <v>23</v>
      </c>
      <c r="K147" s="3" t="str">
        <f t="shared" si="3"/>
        <v>Male</v>
      </c>
      <c r="L147" s="2" t="s">
        <v>412</v>
      </c>
      <c r="M147" s="3" t="str">
        <f t="shared" si="4"/>
        <v>tyler18</v>
      </c>
      <c r="N147" s="4">
        <v>30000</v>
      </c>
      <c r="O147" s="6" t="str">
        <f t="shared" si="5"/>
        <v>Poor</v>
      </c>
      <c r="P147" s="2">
        <v>0</v>
      </c>
      <c r="Q147" s="2" t="s">
        <v>86</v>
      </c>
      <c r="R147" s="2" t="s">
        <v>82</v>
      </c>
      <c r="S147" s="2" t="s">
        <v>27</v>
      </c>
    </row>
    <row r="148" spans="1:19" ht="14.25" customHeight="1" x14ac:dyDescent="0.2">
      <c r="A148" s="2">
        <v>13149</v>
      </c>
      <c r="B148" s="2" t="s">
        <v>32</v>
      </c>
      <c r="C148" s="2" t="s">
        <v>413</v>
      </c>
      <c r="D148" s="2" t="s">
        <v>414</v>
      </c>
      <c r="E148" s="3" t="str">
        <f t="shared" si="0"/>
        <v>MRS. LINDA FERRIER</v>
      </c>
      <c r="F148" s="7">
        <v>16851</v>
      </c>
      <c r="G148" s="3">
        <f t="shared" si="1"/>
        <v>1946</v>
      </c>
      <c r="H148" s="2" t="s">
        <v>23</v>
      </c>
      <c r="I148" s="3" t="str">
        <f t="shared" si="2"/>
        <v>Married</v>
      </c>
      <c r="J148" s="2" t="s">
        <v>35</v>
      </c>
      <c r="K148" s="3" t="str">
        <f t="shared" si="3"/>
        <v>Female</v>
      </c>
      <c r="L148" s="2" t="s">
        <v>415</v>
      </c>
      <c r="M148" s="3" t="str">
        <f t="shared" si="4"/>
        <v>linda23</v>
      </c>
      <c r="N148" s="4">
        <v>10000</v>
      </c>
      <c r="O148" s="6" t="str">
        <f t="shared" si="5"/>
        <v>Poor</v>
      </c>
      <c r="P148" s="2">
        <v>5</v>
      </c>
      <c r="Q148" s="2" t="s">
        <v>86</v>
      </c>
      <c r="R148" s="2" t="s">
        <v>82</v>
      </c>
      <c r="S148" s="2" t="s">
        <v>27</v>
      </c>
    </row>
    <row r="149" spans="1:19" ht="14.25" customHeight="1" x14ac:dyDescent="0.2">
      <c r="A149" s="2">
        <v>13150</v>
      </c>
      <c r="B149" s="2" t="s">
        <v>32</v>
      </c>
      <c r="C149" s="2" t="s">
        <v>416</v>
      </c>
      <c r="D149" s="2" t="s">
        <v>417</v>
      </c>
      <c r="E149" s="3" t="str">
        <f t="shared" si="0"/>
        <v>MRS. LACEY YANG</v>
      </c>
      <c r="F149" s="7">
        <v>13676</v>
      </c>
      <c r="G149" s="3">
        <f t="shared" si="1"/>
        <v>1937</v>
      </c>
      <c r="H149" s="2" t="s">
        <v>22</v>
      </c>
      <c r="I149" s="3" t="str">
        <f t="shared" si="2"/>
        <v>Single</v>
      </c>
      <c r="J149" s="2" t="s">
        <v>35</v>
      </c>
      <c r="K149" s="3" t="str">
        <f t="shared" si="3"/>
        <v>Female</v>
      </c>
      <c r="L149" s="2" t="s">
        <v>418</v>
      </c>
      <c r="M149" s="3" t="str">
        <f t="shared" si="4"/>
        <v>lacey17</v>
      </c>
      <c r="N149" s="4">
        <v>30000</v>
      </c>
      <c r="O149" s="6" t="str">
        <f t="shared" si="5"/>
        <v>Poor</v>
      </c>
      <c r="P149" s="2">
        <v>2</v>
      </c>
      <c r="Q149" s="2" t="s">
        <v>81</v>
      </c>
      <c r="R149" s="2" t="s">
        <v>94</v>
      </c>
      <c r="S149" s="2" t="s">
        <v>27</v>
      </c>
    </row>
    <row r="150" spans="1:19" ht="14.25" customHeight="1" x14ac:dyDescent="0.2">
      <c r="A150" s="2">
        <v>13151</v>
      </c>
      <c r="B150" s="2" t="s">
        <v>19</v>
      </c>
      <c r="C150" s="2" t="s">
        <v>180</v>
      </c>
      <c r="D150" s="2" t="s">
        <v>397</v>
      </c>
      <c r="E150" s="3" t="str">
        <f t="shared" si="0"/>
        <v>MR. ETHAN MOORE</v>
      </c>
      <c r="F150" s="7">
        <v>28830</v>
      </c>
      <c r="G150" s="3">
        <f t="shared" si="1"/>
        <v>1978</v>
      </c>
      <c r="H150" s="2" t="s">
        <v>22</v>
      </c>
      <c r="I150" s="3" t="str">
        <f t="shared" si="2"/>
        <v>Single</v>
      </c>
      <c r="J150" s="2" t="s">
        <v>23</v>
      </c>
      <c r="K150" s="3" t="str">
        <f t="shared" si="3"/>
        <v>Male</v>
      </c>
      <c r="L150" s="2" t="s">
        <v>419</v>
      </c>
      <c r="M150" s="3" t="str">
        <f t="shared" si="4"/>
        <v>ethan41</v>
      </c>
      <c r="N150" s="4">
        <v>40000</v>
      </c>
      <c r="O150" s="6" t="str">
        <f t="shared" si="5"/>
        <v>Poor</v>
      </c>
      <c r="P150" s="2">
        <v>0</v>
      </c>
      <c r="Q150" s="2" t="s">
        <v>86</v>
      </c>
      <c r="R150" s="2" t="s">
        <v>82</v>
      </c>
      <c r="S150" s="2" t="s">
        <v>27</v>
      </c>
    </row>
    <row r="151" spans="1:19" ht="14.25" customHeight="1" x14ac:dyDescent="0.2">
      <c r="A151" s="2">
        <v>13152</v>
      </c>
      <c r="B151" s="2" t="s">
        <v>43</v>
      </c>
      <c r="C151" s="2" t="s">
        <v>420</v>
      </c>
      <c r="D151" s="2" t="s">
        <v>265</v>
      </c>
      <c r="E151" s="3" t="str">
        <f t="shared" si="0"/>
        <v>MS. GABRIELLE BUTLER</v>
      </c>
      <c r="F151" s="7">
        <v>28537</v>
      </c>
      <c r="G151" s="3">
        <f t="shared" si="1"/>
        <v>1978</v>
      </c>
      <c r="H151" s="2" t="s">
        <v>23</v>
      </c>
      <c r="I151" s="3" t="str">
        <f t="shared" si="2"/>
        <v>Married</v>
      </c>
      <c r="J151" s="2" t="s">
        <v>35</v>
      </c>
      <c r="K151" s="3" t="str">
        <f t="shared" si="3"/>
        <v>Female</v>
      </c>
      <c r="L151" s="2" t="s">
        <v>421</v>
      </c>
      <c r="M151" s="3" t="str">
        <f t="shared" si="4"/>
        <v>gabrielle36</v>
      </c>
      <c r="N151" s="4">
        <v>40000</v>
      </c>
      <c r="O151" s="6" t="str">
        <f t="shared" si="5"/>
        <v>Poor</v>
      </c>
      <c r="P151" s="2">
        <v>0</v>
      </c>
      <c r="Q151" s="2" t="s">
        <v>86</v>
      </c>
      <c r="R151" s="2" t="s">
        <v>82</v>
      </c>
      <c r="S151" s="2" t="s">
        <v>27</v>
      </c>
    </row>
    <row r="152" spans="1:19" ht="14.25" customHeight="1" x14ac:dyDescent="0.2">
      <c r="A152" s="2">
        <v>13153</v>
      </c>
      <c r="B152" s="2" t="s">
        <v>19</v>
      </c>
      <c r="C152" s="2" t="s">
        <v>422</v>
      </c>
      <c r="D152" s="2" t="s">
        <v>423</v>
      </c>
      <c r="E152" s="3" t="str">
        <f t="shared" si="0"/>
        <v>MR. JACK HILL</v>
      </c>
      <c r="F152" s="7">
        <v>29146</v>
      </c>
      <c r="G152" s="3">
        <f t="shared" si="1"/>
        <v>1979</v>
      </c>
      <c r="H152" s="2" t="s">
        <v>22</v>
      </c>
      <c r="I152" s="3" t="str">
        <f t="shared" si="2"/>
        <v>Single</v>
      </c>
      <c r="J152" s="2" t="s">
        <v>23</v>
      </c>
      <c r="K152" s="3" t="str">
        <f t="shared" si="3"/>
        <v>Male</v>
      </c>
      <c r="L152" s="2" t="s">
        <v>424</v>
      </c>
      <c r="M152" s="3" t="str">
        <f t="shared" si="4"/>
        <v>jack49</v>
      </c>
      <c r="N152" s="4">
        <v>40000</v>
      </c>
      <c r="O152" s="6" t="str">
        <f t="shared" si="5"/>
        <v>Poor</v>
      </c>
      <c r="P152" s="2">
        <v>0</v>
      </c>
      <c r="Q152" s="2" t="s">
        <v>86</v>
      </c>
      <c r="R152" s="2" t="s">
        <v>82</v>
      </c>
      <c r="S152" s="2" t="s">
        <v>27</v>
      </c>
    </row>
    <row r="153" spans="1:19" ht="14.25" customHeight="1" x14ac:dyDescent="0.2">
      <c r="A153" s="2">
        <v>11000</v>
      </c>
      <c r="B153" s="2" t="s">
        <v>19</v>
      </c>
      <c r="C153" s="2" t="s">
        <v>425</v>
      </c>
      <c r="D153" s="2" t="s">
        <v>417</v>
      </c>
      <c r="E153" s="3" t="str">
        <f t="shared" si="0"/>
        <v>MR. JON YANG</v>
      </c>
      <c r="F153" s="7">
        <v>24205</v>
      </c>
      <c r="G153" s="3">
        <f t="shared" si="1"/>
        <v>1966</v>
      </c>
      <c r="H153" s="2" t="s">
        <v>23</v>
      </c>
      <c r="I153" s="3" t="str">
        <f t="shared" si="2"/>
        <v>Married</v>
      </c>
      <c r="J153" s="2" t="s">
        <v>23</v>
      </c>
      <c r="K153" s="3" t="str">
        <f t="shared" si="3"/>
        <v>Male</v>
      </c>
      <c r="L153" s="2" t="s">
        <v>426</v>
      </c>
      <c r="M153" s="3" t="str">
        <f t="shared" si="4"/>
        <v>jon24</v>
      </c>
      <c r="N153" s="4">
        <v>90000</v>
      </c>
      <c r="O153" s="6" t="str">
        <f t="shared" si="5"/>
        <v>Average</v>
      </c>
      <c r="P153" s="2">
        <v>2</v>
      </c>
      <c r="Q153" s="2" t="s">
        <v>47</v>
      </c>
      <c r="R153" s="2" t="s">
        <v>48</v>
      </c>
      <c r="S153" s="2" t="s">
        <v>27</v>
      </c>
    </row>
    <row r="154" spans="1:19" ht="14.25" customHeight="1" x14ac:dyDescent="0.2">
      <c r="A154" s="2">
        <v>11001</v>
      </c>
      <c r="B154" s="2" t="s">
        <v>19</v>
      </c>
      <c r="C154" s="2" t="s">
        <v>204</v>
      </c>
      <c r="D154" s="2" t="s">
        <v>199</v>
      </c>
      <c r="E154" s="3" t="str">
        <f t="shared" si="0"/>
        <v>MR. EUGENE HUANG</v>
      </c>
      <c r="F154" s="7">
        <v>23876</v>
      </c>
      <c r="G154" s="3">
        <f t="shared" si="1"/>
        <v>1965</v>
      </c>
      <c r="H154" s="2" t="s">
        <v>22</v>
      </c>
      <c r="I154" s="3" t="str">
        <f t="shared" si="2"/>
        <v>Single</v>
      </c>
      <c r="J154" s="2" t="s">
        <v>23</v>
      </c>
      <c r="K154" s="3" t="str">
        <f t="shared" si="3"/>
        <v>Male</v>
      </c>
      <c r="L154" s="2" t="s">
        <v>427</v>
      </c>
      <c r="M154" s="3" t="str">
        <f t="shared" si="4"/>
        <v>eugene10</v>
      </c>
      <c r="N154" s="4">
        <v>60000</v>
      </c>
      <c r="O154" s="6" t="str">
        <f t="shared" si="5"/>
        <v>Average</v>
      </c>
      <c r="P154" s="2">
        <v>3</v>
      </c>
      <c r="Q154" s="2" t="s">
        <v>47</v>
      </c>
      <c r="R154" s="2" t="s">
        <v>48</v>
      </c>
      <c r="S154" s="2" t="s">
        <v>31</v>
      </c>
    </row>
    <row r="155" spans="1:19" ht="14.25" customHeight="1" x14ac:dyDescent="0.2">
      <c r="A155" s="2">
        <v>11002</v>
      </c>
      <c r="B155" s="2" t="s">
        <v>19</v>
      </c>
      <c r="C155" s="2" t="s">
        <v>428</v>
      </c>
      <c r="D155" s="2" t="s">
        <v>137</v>
      </c>
      <c r="E155" s="3" t="str">
        <f t="shared" si="0"/>
        <v>MR. RUBEN TORRES</v>
      </c>
      <c r="F155" s="7">
        <v>23966</v>
      </c>
      <c r="G155" s="3">
        <f t="shared" si="1"/>
        <v>1965</v>
      </c>
      <c r="H155" s="2" t="s">
        <v>23</v>
      </c>
      <c r="I155" s="3" t="str">
        <f t="shared" si="2"/>
        <v>Married</v>
      </c>
      <c r="J155" s="2" t="s">
        <v>23</v>
      </c>
      <c r="K155" s="3" t="str">
        <f t="shared" si="3"/>
        <v>Male</v>
      </c>
      <c r="L155" s="2" t="s">
        <v>429</v>
      </c>
      <c r="M155" s="3" t="str">
        <f t="shared" si="4"/>
        <v>ruben35</v>
      </c>
      <c r="N155" s="4">
        <v>60000</v>
      </c>
      <c r="O155" s="6" t="str">
        <f t="shared" si="5"/>
        <v>Average</v>
      </c>
      <c r="P155" s="2">
        <v>3</v>
      </c>
      <c r="Q155" s="2" t="s">
        <v>47</v>
      </c>
      <c r="R155" s="2" t="s">
        <v>48</v>
      </c>
      <c r="S155" s="2" t="s">
        <v>27</v>
      </c>
    </row>
    <row r="156" spans="1:19" ht="14.25" customHeight="1" x14ac:dyDescent="0.2">
      <c r="A156" s="2">
        <v>11003</v>
      </c>
      <c r="B156" s="2" t="s">
        <v>43</v>
      </c>
      <c r="C156" s="2" t="s">
        <v>430</v>
      </c>
      <c r="D156" s="2" t="s">
        <v>205</v>
      </c>
      <c r="E156" s="3" t="str">
        <f t="shared" si="0"/>
        <v>MS. CHRISTY ZHU</v>
      </c>
      <c r="F156" s="7">
        <v>24883</v>
      </c>
      <c r="G156" s="3">
        <f t="shared" si="1"/>
        <v>1968</v>
      </c>
      <c r="H156" s="2" t="s">
        <v>22</v>
      </c>
      <c r="I156" s="3" t="str">
        <f t="shared" si="2"/>
        <v>Single</v>
      </c>
      <c r="J156" s="2" t="s">
        <v>35</v>
      </c>
      <c r="K156" s="3" t="str">
        <f t="shared" si="3"/>
        <v>Female</v>
      </c>
      <c r="L156" s="2" t="s">
        <v>431</v>
      </c>
      <c r="M156" s="3" t="str">
        <f t="shared" si="4"/>
        <v>christy12</v>
      </c>
      <c r="N156" s="4">
        <v>70000</v>
      </c>
      <c r="O156" s="6" t="str">
        <f t="shared" si="5"/>
        <v>Average</v>
      </c>
      <c r="P156" s="2">
        <v>0</v>
      </c>
      <c r="Q156" s="2" t="s">
        <v>47</v>
      </c>
      <c r="R156" s="2" t="s">
        <v>48</v>
      </c>
      <c r="S156" s="2" t="s">
        <v>31</v>
      </c>
    </row>
    <row r="157" spans="1:19" ht="14.25" customHeight="1" x14ac:dyDescent="0.2">
      <c r="A157" s="2">
        <v>11004</v>
      </c>
      <c r="B157" s="2" t="s">
        <v>32</v>
      </c>
      <c r="C157" s="2" t="s">
        <v>279</v>
      </c>
      <c r="D157" s="2" t="s">
        <v>213</v>
      </c>
      <c r="E157" s="3" t="str">
        <f t="shared" si="0"/>
        <v>MRS. ELIZABETH JOHNSON</v>
      </c>
      <c r="F157" s="7">
        <v>25058</v>
      </c>
      <c r="G157" s="3">
        <f t="shared" si="1"/>
        <v>1968</v>
      </c>
      <c r="H157" s="2" t="s">
        <v>22</v>
      </c>
      <c r="I157" s="3" t="str">
        <f t="shared" si="2"/>
        <v>Single</v>
      </c>
      <c r="J157" s="2" t="s">
        <v>35</v>
      </c>
      <c r="K157" s="3" t="str">
        <f t="shared" si="3"/>
        <v>Female</v>
      </c>
      <c r="L157" s="2" t="s">
        <v>432</v>
      </c>
      <c r="M157" s="3" t="str">
        <f t="shared" si="4"/>
        <v>elizabeth5</v>
      </c>
      <c r="N157" s="4">
        <v>80000</v>
      </c>
      <c r="O157" s="6" t="str">
        <f t="shared" si="5"/>
        <v>Average</v>
      </c>
      <c r="P157" s="2">
        <v>5</v>
      </c>
      <c r="Q157" s="2" t="s">
        <v>47</v>
      </c>
      <c r="R157" s="2" t="s">
        <v>48</v>
      </c>
      <c r="S157" s="2" t="s">
        <v>27</v>
      </c>
    </row>
    <row r="158" spans="1:19" ht="14.25" customHeight="1" x14ac:dyDescent="0.2">
      <c r="A158" s="2">
        <v>11005</v>
      </c>
      <c r="B158" s="2" t="s">
        <v>19</v>
      </c>
      <c r="C158" s="2" t="s">
        <v>433</v>
      </c>
      <c r="D158" s="2" t="s">
        <v>259</v>
      </c>
      <c r="E158" s="3" t="str">
        <f t="shared" si="0"/>
        <v>MR. JULIO RUIZ</v>
      </c>
      <c r="F158" s="7">
        <v>23959</v>
      </c>
      <c r="G158" s="3">
        <f t="shared" si="1"/>
        <v>1965</v>
      </c>
      <c r="H158" s="2" t="s">
        <v>22</v>
      </c>
      <c r="I158" s="3" t="str">
        <f t="shared" si="2"/>
        <v>Single</v>
      </c>
      <c r="J158" s="2" t="s">
        <v>23</v>
      </c>
      <c r="K158" s="3" t="str">
        <f t="shared" si="3"/>
        <v>Male</v>
      </c>
      <c r="L158" s="2" t="s">
        <v>434</v>
      </c>
      <c r="M158" s="3" t="str">
        <f t="shared" si="4"/>
        <v>julio1</v>
      </c>
      <c r="N158" s="4">
        <v>70000</v>
      </c>
      <c r="O158" s="6" t="str">
        <f t="shared" si="5"/>
        <v>Average</v>
      </c>
      <c r="P158" s="2">
        <v>0</v>
      </c>
      <c r="Q158" s="2" t="s">
        <v>47</v>
      </c>
      <c r="R158" s="2" t="s">
        <v>48</v>
      </c>
      <c r="S158" s="2" t="s">
        <v>27</v>
      </c>
    </row>
    <row r="159" spans="1:19" ht="14.25" customHeight="1" x14ac:dyDescent="0.2">
      <c r="A159" s="2">
        <v>11007</v>
      </c>
      <c r="B159" s="2" t="s">
        <v>19</v>
      </c>
      <c r="C159" s="2" t="s">
        <v>355</v>
      </c>
      <c r="D159" s="2" t="s">
        <v>256</v>
      </c>
      <c r="E159" s="3" t="str">
        <f t="shared" si="0"/>
        <v>MR. MARCO MEHTA</v>
      </c>
      <c r="F159" s="7">
        <v>23506</v>
      </c>
      <c r="G159" s="3">
        <f t="shared" si="1"/>
        <v>1964</v>
      </c>
      <c r="H159" s="2" t="s">
        <v>23</v>
      </c>
      <c r="I159" s="3" t="str">
        <f t="shared" si="2"/>
        <v>Married</v>
      </c>
      <c r="J159" s="2" t="s">
        <v>23</v>
      </c>
      <c r="K159" s="3" t="str">
        <f t="shared" si="3"/>
        <v>Male</v>
      </c>
      <c r="L159" s="2" t="s">
        <v>435</v>
      </c>
      <c r="M159" s="3" t="str">
        <f t="shared" si="4"/>
        <v>marco14</v>
      </c>
      <c r="N159" s="4">
        <v>60000</v>
      </c>
      <c r="O159" s="6" t="str">
        <f t="shared" si="5"/>
        <v>Average</v>
      </c>
      <c r="P159" s="2">
        <v>3</v>
      </c>
      <c r="Q159" s="2" t="s">
        <v>47</v>
      </c>
      <c r="R159" s="2" t="s">
        <v>48</v>
      </c>
      <c r="S159" s="2" t="s">
        <v>27</v>
      </c>
    </row>
    <row r="160" spans="1:19" ht="14.25" customHeight="1" x14ac:dyDescent="0.2">
      <c r="A160" s="2">
        <v>11008</v>
      </c>
      <c r="B160" s="2" t="s">
        <v>32</v>
      </c>
      <c r="C160" s="2" t="s">
        <v>436</v>
      </c>
      <c r="D160" s="2" t="s">
        <v>437</v>
      </c>
      <c r="E160" s="3" t="str">
        <f t="shared" si="0"/>
        <v>MRS. ROBIN VERHOFF</v>
      </c>
      <c r="F160" s="7">
        <v>23565</v>
      </c>
      <c r="G160" s="3">
        <f t="shared" si="1"/>
        <v>1964</v>
      </c>
      <c r="H160" s="2" t="s">
        <v>22</v>
      </c>
      <c r="I160" s="3" t="str">
        <f t="shared" si="2"/>
        <v>Single</v>
      </c>
      <c r="J160" s="2" t="s">
        <v>35</v>
      </c>
      <c r="K160" s="3" t="str">
        <f t="shared" si="3"/>
        <v>Female</v>
      </c>
      <c r="L160" s="2" t="s">
        <v>438</v>
      </c>
      <c r="M160" s="3" t="str">
        <f t="shared" si="4"/>
        <v>rob4</v>
      </c>
      <c r="N160" s="4">
        <v>60000</v>
      </c>
      <c r="O160" s="6" t="str">
        <f t="shared" si="5"/>
        <v>Average</v>
      </c>
      <c r="P160" s="2">
        <v>4</v>
      </c>
      <c r="Q160" s="2" t="s">
        <v>47</v>
      </c>
      <c r="R160" s="2" t="s">
        <v>48</v>
      </c>
      <c r="S160" s="2" t="s">
        <v>27</v>
      </c>
    </row>
    <row r="161" spans="1:19" ht="14.25" customHeight="1" x14ac:dyDescent="0.2">
      <c r="A161" s="2">
        <v>11009</v>
      </c>
      <c r="B161" s="2" t="s">
        <v>19</v>
      </c>
      <c r="C161" s="2" t="s">
        <v>439</v>
      </c>
      <c r="D161" s="2" t="s">
        <v>440</v>
      </c>
      <c r="E161" s="3" t="str">
        <f t="shared" si="0"/>
        <v>MR. SHANNON CARLSON</v>
      </c>
      <c r="F161" s="7">
        <v>23468</v>
      </c>
      <c r="G161" s="3">
        <f t="shared" si="1"/>
        <v>1964</v>
      </c>
      <c r="H161" s="2" t="s">
        <v>22</v>
      </c>
      <c r="I161" s="3" t="str">
        <f t="shared" si="2"/>
        <v>Single</v>
      </c>
      <c r="J161" s="2" t="s">
        <v>23</v>
      </c>
      <c r="K161" s="3" t="str">
        <f t="shared" si="3"/>
        <v>Male</v>
      </c>
      <c r="L161" s="2" t="s">
        <v>441</v>
      </c>
      <c r="M161" s="3" t="str">
        <f t="shared" si="4"/>
        <v>shannon38</v>
      </c>
      <c r="N161" s="4">
        <v>70000</v>
      </c>
      <c r="O161" s="6" t="str">
        <f t="shared" si="5"/>
        <v>Average</v>
      </c>
      <c r="P161" s="2">
        <v>0</v>
      </c>
      <c r="Q161" s="2" t="s">
        <v>47</v>
      </c>
      <c r="R161" s="2" t="s">
        <v>48</v>
      </c>
      <c r="S161" s="2" t="s">
        <v>31</v>
      </c>
    </row>
    <row r="162" spans="1:19" ht="14.25" customHeight="1" x14ac:dyDescent="0.2">
      <c r="A162" s="2">
        <v>11010</v>
      </c>
      <c r="B162" s="2" t="s">
        <v>43</v>
      </c>
      <c r="C162" s="2" t="s">
        <v>442</v>
      </c>
      <c r="D162" s="2" t="s">
        <v>443</v>
      </c>
      <c r="E162" s="3" t="str">
        <f t="shared" si="0"/>
        <v>MS. JACQUELYN SUAREZ</v>
      </c>
      <c r="F162" s="7">
        <v>23413</v>
      </c>
      <c r="G162" s="3">
        <f t="shared" si="1"/>
        <v>1964</v>
      </c>
      <c r="H162" s="2" t="s">
        <v>22</v>
      </c>
      <c r="I162" s="3" t="str">
        <f t="shared" si="2"/>
        <v>Single</v>
      </c>
      <c r="J162" s="2" t="s">
        <v>35</v>
      </c>
      <c r="K162" s="3" t="str">
        <f t="shared" si="3"/>
        <v>Female</v>
      </c>
      <c r="L162" s="2" t="s">
        <v>444</v>
      </c>
      <c r="M162" s="3" t="str">
        <f t="shared" si="4"/>
        <v>jacquelyn20</v>
      </c>
      <c r="N162" s="4">
        <v>70000</v>
      </c>
      <c r="O162" s="6" t="str">
        <f t="shared" si="5"/>
        <v>Average</v>
      </c>
      <c r="P162" s="2">
        <v>0</v>
      </c>
      <c r="Q162" s="2" t="s">
        <v>47</v>
      </c>
      <c r="R162" s="2" t="s">
        <v>48</v>
      </c>
      <c r="S162" s="2" t="s">
        <v>31</v>
      </c>
    </row>
    <row r="163" spans="1:19" ht="14.25" customHeight="1" x14ac:dyDescent="0.2">
      <c r="A163" s="2">
        <v>11011</v>
      </c>
      <c r="B163" s="2" t="s">
        <v>19</v>
      </c>
      <c r="C163" s="2" t="s">
        <v>320</v>
      </c>
      <c r="D163" s="2" t="s">
        <v>186</v>
      </c>
      <c r="E163" s="3" t="str">
        <f t="shared" si="0"/>
        <v>MR. CURTIS LU</v>
      </c>
      <c r="F163" s="7">
        <v>23319</v>
      </c>
      <c r="G163" s="3">
        <f t="shared" si="1"/>
        <v>1963</v>
      </c>
      <c r="H163" s="2" t="s">
        <v>23</v>
      </c>
      <c r="I163" s="3" t="str">
        <f t="shared" si="2"/>
        <v>Married</v>
      </c>
      <c r="J163" s="2" t="s">
        <v>23</v>
      </c>
      <c r="K163" s="3" t="str">
        <f t="shared" si="3"/>
        <v>Male</v>
      </c>
      <c r="L163" s="2" t="s">
        <v>445</v>
      </c>
      <c r="M163" s="3" t="str">
        <f t="shared" si="4"/>
        <v>curtis9</v>
      </c>
      <c r="N163" s="4">
        <v>60000</v>
      </c>
      <c r="O163" s="6" t="str">
        <f t="shared" si="5"/>
        <v>Average</v>
      </c>
      <c r="P163" s="2">
        <v>4</v>
      </c>
      <c r="Q163" s="2" t="s">
        <v>47</v>
      </c>
      <c r="R163" s="2" t="s">
        <v>48</v>
      </c>
      <c r="S163" s="2" t="s">
        <v>27</v>
      </c>
    </row>
    <row r="164" spans="1:19" ht="14.25" customHeight="1" x14ac:dyDescent="0.2">
      <c r="A164" s="2">
        <v>11012</v>
      </c>
      <c r="B164" s="2" t="s">
        <v>32</v>
      </c>
      <c r="C164" s="2" t="s">
        <v>446</v>
      </c>
      <c r="D164" s="2" t="s">
        <v>231</v>
      </c>
      <c r="E164" s="3" t="str">
        <f t="shared" si="0"/>
        <v>MRS. LAUREN WALKER</v>
      </c>
      <c r="F164" s="7">
        <v>24855</v>
      </c>
      <c r="G164" s="3">
        <f t="shared" si="1"/>
        <v>1968</v>
      </c>
      <c r="H164" s="2" t="s">
        <v>23</v>
      </c>
      <c r="I164" s="3" t="str">
        <f t="shared" si="2"/>
        <v>Married</v>
      </c>
      <c r="J164" s="2" t="s">
        <v>35</v>
      </c>
      <c r="K164" s="3" t="str">
        <f t="shared" si="3"/>
        <v>Female</v>
      </c>
      <c r="L164" s="2" t="s">
        <v>447</v>
      </c>
      <c r="M164" s="3" t="str">
        <f t="shared" si="4"/>
        <v>lauren41</v>
      </c>
      <c r="N164" s="4">
        <v>100000</v>
      </c>
      <c r="O164" s="6" t="str">
        <f t="shared" si="5"/>
        <v>Rich</v>
      </c>
      <c r="P164" s="2">
        <v>2</v>
      </c>
      <c r="Q164" s="2" t="s">
        <v>47</v>
      </c>
      <c r="R164" s="2" t="s">
        <v>26</v>
      </c>
      <c r="S164" s="2" t="s">
        <v>27</v>
      </c>
    </row>
    <row r="165" spans="1:19" ht="14.25" customHeight="1" x14ac:dyDescent="0.2">
      <c r="A165" s="2">
        <v>11013</v>
      </c>
      <c r="B165" s="2" t="s">
        <v>19</v>
      </c>
      <c r="C165" s="2" t="s">
        <v>448</v>
      </c>
      <c r="D165" s="2" t="s">
        <v>449</v>
      </c>
      <c r="E165" s="3" t="str">
        <f t="shared" si="0"/>
        <v>MR. IAN JENKINS</v>
      </c>
      <c r="F165" s="7">
        <v>25056</v>
      </c>
      <c r="G165" s="3">
        <f t="shared" si="1"/>
        <v>1968</v>
      </c>
      <c r="H165" s="2" t="s">
        <v>23</v>
      </c>
      <c r="I165" s="3" t="str">
        <f t="shared" si="2"/>
        <v>Married</v>
      </c>
      <c r="J165" s="2" t="s">
        <v>23</v>
      </c>
      <c r="K165" s="3" t="str">
        <f t="shared" si="3"/>
        <v>Male</v>
      </c>
      <c r="L165" s="2" t="s">
        <v>450</v>
      </c>
      <c r="M165" s="3" t="str">
        <f t="shared" si="4"/>
        <v>ian47</v>
      </c>
      <c r="N165" s="4">
        <v>100000</v>
      </c>
      <c r="O165" s="6" t="str">
        <f t="shared" si="5"/>
        <v>Rich</v>
      </c>
      <c r="P165" s="2">
        <v>2</v>
      </c>
      <c r="Q165" s="2" t="s">
        <v>47</v>
      </c>
      <c r="R165" s="2" t="s">
        <v>26</v>
      </c>
      <c r="S165" s="2" t="s">
        <v>27</v>
      </c>
    </row>
    <row r="166" spans="1:19" ht="14.25" customHeight="1" x14ac:dyDescent="0.2">
      <c r="A166" s="2">
        <v>11014</v>
      </c>
      <c r="B166" s="2" t="s">
        <v>32</v>
      </c>
      <c r="C166" s="2" t="s">
        <v>235</v>
      </c>
      <c r="D166" s="2" t="s">
        <v>451</v>
      </c>
      <c r="E166" s="3" t="str">
        <f t="shared" si="0"/>
        <v>MRS. SYDNEY BENNETT</v>
      </c>
      <c r="F166" s="7">
        <v>24967</v>
      </c>
      <c r="G166" s="3">
        <f t="shared" si="1"/>
        <v>1968</v>
      </c>
      <c r="H166" s="2" t="s">
        <v>22</v>
      </c>
      <c r="I166" s="3" t="str">
        <f t="shared" si="2"/>
        <v>Single</v>
      </c>
      <c r="J166" s="2" t="s">
        <v>35</v>
      </c>
      <c r="K166" s="3" t="str">
        <f t="shared" si="3"/>
        <v>Female</v>
      </c>
      <c r="L166" s="2" t="s">
        <v>452</v>
      </c>
      <c r="M166" s="3" t="str">
        <f t="shared" si="4"/>
        <v>sydney23</v>
      </c>
      <c r="N166" s="4">
        <v>100000</v>
      </c>
      <c r="O166" s="6" t="str">
        <f t="shared" si="5"/>
        <v>Rich</v>
      </c>
      <c r="P166" s="2">
        <v>3</v>
      </c>
      <c r="Q166" s="2" t="s">
        <v>47</v>
      </c>
      <c r="R166" s="2" t="s">
        <v>26</v>
      </c>
      <c r="S166" s="2" t="s">
        <v>31</v>
      </c>
    </row>
    <row r="167" spans="1:19" ht="14.25" customHeight="1" x14ac:dyDescent="0.2">
      <c r="A167" s="2">
        <v>11015</v>
      </c>
      <c r="B167" s="2" t="s">
        <v>43</v>
      </c>
      <c r="C167" s="2" t="s">
        <v>453</v>
      </c>
      <c r="D167" s="2" t="s">
        <v>454</v>
      </c>
      <c r="E167" s="3" t="str">
        <f t="shared" si="0"/>
        <v>MS. CHLOE YOUNG</v>
      </c>
      <c r="F167" s="7">
        <v>28913</v>
      </c>
      <c r="G167" s="3">
        <f t="shared" si="1"/>
        <v>1979</v>
      </c>
      <c r="H167" s="2" t="s">
        <v>22</v>
      </c>
      <c r="I167" s="3" t="str">
        <f t="shared" si="2"/>
        <v>Single</v>
      </c>
      <c r="J167" s="2" t="s">
        <v>35</v>
      </c>
      <c r="K167" s="3" t="str">
        <f t="shared" si="3"/>
        <v>Female</v>
      </c>
      <c r="L167" s="2" t="s">
        <v>455</v>
      </c>
      <c r="M167" s="3" t="str">
        <f t="shared" si="4"/>
        <v>chloe23</v>
      </c>
      <c r="N167" s="4">
        <v>30000</v>
      </c>
      <c r="O167" s="6" t="str">
        <f t="shared" si="5"/>
        <v>Poor</v>
      </c>
      <c r="P167" s="2">
        <v>0</v>
      </c>
      <c r="Q167" s="2" t="s">
        <v>81</v>
      </c>
      <c r="R167" s="2" t="s">
        <v>82</v>
      </c>
      <c r="S167" s="2" t="s">
        <v>31</v>
      </c>
    </row>
    <row r="168" spans="1:19" ht="14.25" customHeight="1" x14ac:dyDescent="0.2">
      <c r="A168" s="2">
        <v>11016</v>
      </c>
      <c r="B168" s="2" t="s">
        <v>19</v>
      </c>
      <c r="C168" s="2" t="s">
        <v>456</v>
      </c>
      <c r="D168" s="2" t="s">
        <v>423</v>
      </c>
      <c r="E168" s="3" t="str">
        <f t="shared" si="0"/>
        <v>MR. WYATT HILL</v>
      </c>
      <c r="F168" s="7">
        <v>28973</v>
      </c>
      <c r="G168" s="3">
        <f t="shared" si="1"/>
        <v>1979</v>
      </c>
      <c r="H168" s="2" t="s">
        <v>23</v>
      </c>
      <c r="I168" s="3" t="str">
        <f t="shared" si="2"/>
        <v>Married</v>
      </c>
      <c r="J168" s="2" t="s">
        <v>23</v>
      </c>
      <c r="K168" s="3" t="str">
        <f t="shared" si="3"/>
        <v>Male</v>
      </c>
      <c r="L168" s="2" t="s">
        <v>457</v>
      </c>
      <c r="M168" s="3" t="str">
        <f t="shared" si="4"/>
        <v>wyatt32</v>
      </c>
      <c r="N168" s="4">
        <v>30000</v>
      </c>
      <c r="O168" s="6" t="str">
        <f t="shared" si="5"/>
        <v>Poor</v>
      </c>
      <c r="P168" s="2">
        <v>0</v>
      </c>
      <c r="Q168" s="2" t="s">
        <v>81</v>
      </c>
      <c r="R168" s="2" t="s">
        <v>82</v>
      </c>
      <c r="S168" s="2" t="s">
        <v>27</v>
      </c>
    </row>
    <row r="169" spans="1:19" ht="14.25" customHeight="1" x14ac:dyDescent="0.2">
      <c r="A169" s="2">
        <v>11017</v>
      </c>
      <c r="B169" s="2" t="s">
        <v>32</v>
      </c>
      <c r="C169" s="2" t="s">
        <v>439</v>
      </c>
      <c r="D169" s="2" t="s">
        <v>175</v>
      </c>
      <c r="E169" s="3" t="str">
        <f t="shared" si="0"/>
        <v>MRS. SHANNON WANG</v>
      </c>
      <c r="F169" s="7">
        <v>16249</v>
      </c>
      <c r="G169" s="3">
        <f t="shared" si="1"/>
        <v>1944</v>
      </c>
      <c r="H169" s="2" t="s">
        <v>22</v>
      </c>
      <c r="I169" s="3" t="str">
        <f t="shared" si="2"/>
        <v>Single</v>
      </c>
      <c r="J169" s="2" t="s">
        <v>35</v>
      </c>
      <c r="K169" s="3" t="str">
        <f t="shared" si="3"/>
        <v>Female</v>
      </c>
      <c r="L169" s="2" t="s">
        <v>458</v>
      </c>
      <c r="M169" s="3" t="str">
        <f t="shared" si="4"/>
        <v>shannon1</v>
      </c>
      <c r="N169" s="4">
        <v>20000</v>
      </c>
      <c r="O169" s="6" t="str">
        <f t="shared" si="5"/>
        <v>Poor</v>
      </c>
      <c r="P169" s="2">
        <v>4</v>
      </c>
      <c r="Q169" s="2" t="s">
        <v>86</v>
      </c>
      <c r="R169" s="2" t="s">
        <v>82</v>
      </c>
      <c r="S169" s="2" t="s">
        <v>27</v>
      </c>
    </row>
    <row r="170" spans="1:19" ht="14.25" customHeight="1" x14ac:dyDescent="0.2">
      <c r="A170" s="2">
        <v>11018</v>
      </c>
      <c r="B170" s="2" t="s">
        <v>19</v>
      </c>
      <c r="C170" s="2" t="s">
        <v>20</v>
      </c>
      <c r="D170" s="2" t="s">
        <v>382</v>
      </c>
      <c r="E170" s="3" t="str">
        <f t="shared" si="0"/>
        <v>MR. CLARENCE RAI</v>
      </c>
      <c r="F170" s="7">
        <v>16354</v>
      </c>
      <c r="G170" s="3">
        <f t="shared" si="1"/>
        <v>1944</v>
      </c>
      <c r="H170" s="2" t="s">
        <v>22</v>
      </c>
      <c r="I170" s="3" t="str">
        <f t="shared" si="2"/>
        <v>Single</v>
      </c>
      <c r="J170" s="2" t="s">
        <v>23</v>
      </c>
      <c r="K170" s="3" t="str">
        <f t="shared" si="3"/>
        <v>Male</v>
      </c>
      <c r="L170" s="2" t="s">
        <v>459</v>
      </c>
      <c r="M170" s="3" t="str">
        <f t="shared" si="4"/>
        <v>clarence32</v>
      </c>
      <c r="N170" s="4">
        <v>30000</v>
      </c>
      <c r="O170" s="6" t="str">
        <f t="shared" si="5"/>
        <v>Poor</v>
      </c>
      <c r="P170" s="2">
        <v>2</v>
      </c>
      <c r="Q170" s="2" t="s">
        <v>81</v>
      </c>
      <c r="R170" s="2" t="s">
        <v>94</v>
      </c>
      <c r="S170" s="2" t="s">
        <v>27</v>
      </c>
    </row>
    <row r="171" spans="1:19" ht="14.25" customHeight="1" x14ac:dyDescent="0.2">
      <c r="A171" s="2">
        <v>11019</v>
      </c>
      <c r="B171" s="2" t="s">
        <v>19</v>
      </c>
      <c r="C171" s="2" t="s">
        <v>460</v>
      </c>
      <c r="D171" s="2" t="s">
        <v>461</v>
      </c>
      <c r="E171" s="3" t="str">
        <f t="shared" si="0"/>
        <v>MR. LUKE LAL</v>
      </c>
      <c r="F171" s="7">
        <v>28556</v>
      </c>
      <c r="G171" s="3">
        <f t="shared" si="1"/>
        <v>1978</v>
      </c>
      <c r="H171" s="2" t="s">
        <v>22</v>
      </c>
      <c r="I171" s="3" t="str">
        <f t="shared" si="2"/>
        <v>Single</v>
      </c>
      <c r="J171" s="2" t="s">
        <v>23</v>
      </c>
      <c r="K171" s="3" t="str">
        <f t="shared" si="3"/>
        <v>Male</v>
      </c>
      <c r="L171" s="2" t="s">
        <v>462</v>
      </c>
      <c r="M171" s="3" t="str">
        <f t="shared" si="4"/>
        <v>luke18</v>
      </c>
      <c r="N171" s="4">
        <v>40000</v>
      </c>
      <c r="O171" s="6" t="str">
        <f t="shared" si="5"/>
        <v>Poor</v>
      </c>
      <c r="P171" s="2">
        <v>0</v>
      </c>
      <c r="Q171" s="2" t="s">
        <v>86</v>
      </c>
      <c r="R171" s="2" t="s">
        <v>82</v>
      </c>
      <c r="S171" s="2" t="s">
        <v>31</v>
      </c>
    </row>
    <row r="172" spans="1:19" ht="14.25" customHeight="1" x14ac:dyDescent="0.2">
      <c r="A172" s="2">
        <v>11020</v>
      </c>
      <c r="B172" s="2" t="s">
        <v>19</v>
      </c>
      <c r="C172" s="2" t="s">
        <v>292</v>
      </c>
      <c r="D172" s="2" t="s">
        <v>463</v>
      </c>
      <c r="E172" s="3" t="str">
        <f t="shared" si="0"/>
        <v>MR. JORDAN KING</v>
      </c>
      <c r="F172" s="7">
        <v>28753</v>
      </c>
      <c r="G172" s="3">
        <f t="shared" si="1"/>
        <v>1978</v>
      </c>
      <c r="H172" s="2" t="s">
        <v>22</v>
      </c>
      <c r="I172" s="3" t="str">
        <f t="shared" si="2"/>
        <v>Single</v>
      </c>
      <c r="J172" s="2" t="s">
        <v>23</v>
      </c>
      <c r="K172" s="3" t="str">
        <f t="shared" si="3"/>
        <v>Male</v>
      </c>
      <c r="L172" s="2" t="s">
        <v>464</v>
      </c>
      <c r="M172" s="3" t="str">
        <f t="shared" si="4"/>
        <v>jordan73</v>
      </c>
      <c r="N172" s="4">
        <v>40000</v>
      </c>
      <c r="O172" s="6" t="str">
        <f t="shared" si="5"/>
        <v>Poor</v>
      </c>
      <c r="P172" s="2">
        <v>0</v>
      </c>
      <c r="Q172" s="2" t="s">
        <v>86</v>
      </c>
      <c r="R172" s="2" t="s">
        <v>82</v>
      </c>
      <c r="S172" s="2" t="s">
        <v>31</v>
      </c>
    </row>
    <row r="173" spans="1:19" ht="14.25" customHeight="1" x14ac:dyDescent="0.2">
      <c r="A173" s="2">
        <v>11021</v>
      </c>
      <c r="B173" s="2" t="s">
        <v>43</v>
      </c>
      <c r="C173" s="2" t="s">
        <v>87</v>
      </c>
      <c r="D173" s="2" t="s">
        <v>145</v>
      </c>
      <c r="E173" s="3" t="str">
        <f t="shared" si="0"/>
        <v>MS. DESTINY WILSON</v>
      </c>
      <c r="F173" s="7">
        <v>28736</v>
      </c>
      <c r="G173" s="3">
        <f t="shared" si="1"/>
        <v>1978</v>
      </c>
      <c r="H173" s="2" t="s">
        <v>22</v>
      </c>
      <c r="I173" s="3" t="str">
        <f t="shared" si="2"/>
        <v>Single</v>
      </c>
      <c r="J173" s="2" t="s">
        <v>35</v>
      </c>
      <c r="K173" s="3" t="str">
        <f t="shared" si="3"/>
        <v>Female</v>
      </c>
      <c r="L173" s="2" t="s">
        <v>465</v>
      </c>
      <c r="M173" s="3" t="str">
        <f t="shared" si="4"/>
        <v>destiny7</v>
      </c>
      <c r="N173" s="4">
        <v>40000</v>
      </c>
      <c r="O173" s="6" t="str">
        <f t="shared" si="5"/>
        <v>Poor</v>
      </c>
      <c r="P173" s="2">
        <v>0</v>
      </c>
      <c r="Q173" s="2" t="s">
        <v>81</v>
      </c>
      <c r="R173" s="2" t="s">
        <v>82</v>
      </c>
      <c r="S173" s="2" t="s">
        <v>31</v>
      </c>
    </row>
    <row r="174" spans="1:19" ht="14.25" customHeight="1" x14ac:dyDescent="0.2">
      <c r="A174" s="2">
        <v>11022</v>
      </c>
      <c r="B174" s="2" t="s">
        <v>19</v>
      </c>
      <c r="C174" s="2" t="s">
        <v>180</v>
      </c>
      <c r="D174" s="2" t="s">
        <v>21</v>
      </c>
      <c r="E174" s="3" t="str">
        <f t="shared" si="0"/>
        <v>MR. ETHAN ZHANG</v>
      </c>
      <c r="F174" s="7">
        <v>28775</v>
      </c>
      <c r="G174" s="3">
        <f t="shared" si="1"/>
        <v>1978</v>
      </c>
      <c r="H174" s="2" t="s">
        <v>23</v>
      </c>
      <c r="I174" s="3" t="str">
        <f t="shared" si="2"/>
        <v>Married</v>
      </c>
      <c r="J174" s="2" t="s">
        <v>23</v>
      </c>
      <c r="K174" s="3" t="str">
        <f t="shared" si="3"/>
        <v>Male</v>
      </c>
      <c r="L174" s="2" t="s">
        <v>466</v>
      </c>
      <c r="M174" s="3" t="str">
        <f t="shared" si="4"/>
        <v>ethan20</v>
      </c>
      <c r="N174" s="4">
        <v>40000</v>
      </c>
      <c r="O174" s="6" t="str">
        <f t="shared" si="5"/>
        <v>Poor</v>
      </c>
      <c r="P174" s="2">
        <v>0</v>
      </c>
      <c r="Q174" s="2" t="s">
        <v>81</v>
      </c>
      <c r="R174" s="2" t="s">
        <v>82</v>
      </c>
      <c r="S174" s="2" t="s">
        <v>27</v>
      </c>
    </row>
    <row r="175" spans="1:19" ht="14.25" customHeight="1" x14ac:dyDescent="0.2">
      <c r="A175" s="2">
        <v>11023</v>
      </c>
      <c r="B175" s="2" t="s">
        <v>19</v>
      </c>
      <c r="C175" s="2" t="s">
        <v>467</v>
      </c>
      <c r="D175" s="2" t="s">
        <v>468</v>
      </c>
      <c r="E175" s="3" t="str">
        <f t="shared" si="0"/>
        <v>MR. SETH EDWARDS</v>
      </c>
      <c r="F175" s="7">
        <v>28774</v>
      </c>
      <c r="G175" s="3">
        <f t="shared" si="1"/>
        <v>1978</v>
      </c>
      <c r="H175" s="2" t="s">
        <v>23</v>
      </c>
      <c r="I175" s="3" t="str">
        <f t="shared" si="2"/>
        <v>Married</v>
      </c>
      <c r="J175" s="2" t="s">
        <v>23</v>
      </c>
      <c r="K175" s="3" t="str">
        <f t="shared" si="3"/>
        <v>Male</v>
      </c>
      <c r="L175" s="2" t="s">
        <v>469</v>
      </c>
      <c r="M175" s="3" t="str">
        <f t="shared" si="4"/>
        <v>seth46</v>
      </c>
      <c r="N175" s="4">
        <v>40000</v>
      </c>
      <c r="O175" s="6" t="str">
        <f t="shared" si="5"/>
        <v>Poor</v>
      </c>
      <c r="P175" s="2">
        <v>0</v>
      </c>
      <c r="Q175" s="2" t="s">
        <v>81</v>
      </c>
      <c r="R175" s="2" t="s">
        <v>82</v>
      </c>
      <c r="S175" s="2" t="s">
        <v>27</v>
      </c>
    </row>
    <row r="176" spans="1:19" ht="14.25" customHeight="1" x14ac:dyDescent="0.2">
      <c r="A176" s="2">
        <v>11024</v>
      </c>
      <c r="B176" s="2" t="s">
        <v>19</v>
      </c>
      <c r="C176" s="2" t="s">
        <v>298</v>
      </c>
      <c r="D176" s="2" t="s">
        <v>84</v>
      </c>
      <c r="E176" s="3" t="str">
        <f t="shared" si="0"/>
        <v>MR. RUSSELL XIE</v>
      </c>
      <c r="F176" s="7">
        <v>28750</v>
      </c>
      <c r="G176" s="3">
        <f t="shared" si="1"/>
        <v>1978</v>
      </c>
      <c r="H176" s="2" t="s">
        <v>23</v>
      </c>
      <c r="I176" s="3" t="str">
        <f t="shared" si="2"/>
        <v>Married</v>
      </c>
      <c r="J176" s="2" t="s">
        <v>23</v>
      </c>
      <c r="K176" s="3" t="str">
        <f t="shared" si="3"/>
        <v>Male</v>
      </c>
      <c r="L176" s="2" t="s">
        <v>470</v>
      </c>
      <c r="M176" s="3" t="str">
        <f t="shared" si="4"/>
        <v>russell7</v>
      </c>
      <c r="N176" s="4">
        <v>60000</v>
      </c>
      <c r="O176" s="6" t="str">
        <f t="shared" si="5"/>
        <v>Average</v>
      </c>
      <c r="P176" s="2">
        <v>0</v>
      </c>
      <c r="Q176" s="2" t="s">
        <v>81</v>
      </c>
      <c r="R176" s="2" t="s">
        <v>82</v>
      </c>
      <c r="S176" s="2" t="s">
        <v>27</v>
      </c>
    </row>
    <row r="177" spans="1:19" ht="14.25" customHeight="1" x14ac:dyDescent="0.2">
      <c r="A177" s="2">
        <v>11025</v>
      </c>
      <c r="C177" s="2" t="s">
        <v>246</v>
      </c>
      <c r="D177" s="2" t="s">
        <v>471</v>
      </c>
      <c r="E177" s="3" t="str">
        <f t="shared" si="0"/>
        <v xml:space="preserve"> ALEJANDRO BECK</v>
      </c>
      <c r="F177" s="7">
        <v>16794</v>
      </c>
      <c r="G177" s="3">
        <f t="shared" si="1"/>
        <v>1945</v>
      </c>
      <c r="H177" s="2" t="s">
        <v>23</v>
      </c>
      <c r="I177" s="3" t="str">
        <f t="shared" si="2"/>
        <v>Married</v>
      </c>
      <c r="J177" s="2" t="s">
        <v>391</v>
      </c>
      <c r="K177" s="3" t="str">
        <f t="shared" si="3"/>
        <v>Female</v>
      </c>
      <c r="L177" s="2" t="s">
        <v>472</v>
      </c>
      <c r="M177" s="3" t="str">
        <f t="shared" si="4"/>
        <v>alejandro45</v>
      </c>
      <c r="N177" s="4">
        <v>10000</v>
      </c>
      <c r="O177" s="6" t="str">
        <f t="shared" si="5"/>
        <v>Poor</v>
      </c>
      <c r="P177" s="2">
        <v>2</v>
      </c>
      <c r="Q177" s="2" t="s">
        <v>93</v>
      </c>
      <c r="R177" s="2" t="s">
        <v>94</v>
      </c>
      <c r="S177" s="2" t="s">
        <v>27</v>
      </c>
    </row>
    <row r="178" spans="1:19" ht="14.25" customHeight="1" x14ac:dyDescent="0.2">
      <c r="A178" s="2">
        <v>11026</v>
      </c>
      <c r="B178" s="2" t="s">
        <v>19</v>
      </c>
      <c r="C178" s="2" t="s">
        <v>473</v>
      </c>
      <c r="D178" s="2" t="s">
        <v>474</v>
      </c>
      <c r="E178" s="3" t="str">
        <f t="shared" si="0"/>
        <v>MR. HAROLD SAI</v>
      </c>
      <c r="F178" s="7">
        <v>16895</v>
      </c>
      <c r="G178" s="3">
        <f t="shared" si="1"/>
        <v>1946</v>
      </c>
      <c r="H178" s="2" t="s">
        <v>22</v>
      </c>
      <c r="I178" s="3" t="str">
        <f t="shared" si="2"/>
        <v>Single</v>
      </c>
      <c r="J178" s="2" t="s">
        <v>23</v>
      </c>
      <c r="K178" s="3" t="str">
        <f t="shared" si="3"/>
        <v>Male</v>
      </c>
      <c r="L178" s="2" t="s">
        <v>475</v>
      </c>
      <c r="M178" s="3" t="str">
        <f t="shared" si="4"/>
        <v>harold3</v>
      </c>
      <c r="N178" s="4">
        <v>30000</v>
      </c>
      <c r="O178" s="6" t="str">
        <f t="shared" si="5"/>
        <v>Poor</v>
      </c>
      <c r="P178" s="2">
        <v>2</v>
      </c>
      <c r="Q178" s="2" t="s">
        <v>81</v>
      </c>
      <c r="R178" s="2" t="s">
        <v>94</v>
      </c>
      <c r="S178" s="2" t="s">
        <v>31</v>
      </c>
    </row>
    <row r="179" spans="1:19" ht="14.25" customHeight="1" x14ac:dyDescent="0.2">
      <c r="A179" s="2">
        <v>11027</v>
      </c>
      <c r="B179" s="2" t="s">
        <v>19</v>
      </c>
      <c r="C179" s="2" t="s">
        <v>476</v>
      </c>
      <c r="D179" s="2" t="s">
        <v>477</v>
      </c>
      <c r="E179" s="3" t="str">
        <f t="shared" si="0"/>
        <v>MR. JESSIE ZHAO</v>
      </c>
      <c r="F179" s="7">
        <v>17143</v>
      </c>
      <c r="G179" s="3">
        <f t="shared" si="1"/>
        <v>1946</v>
      </c>
      <c r="H179" s="2" t="s">
        <v>23</v>
      </c>
      <c r="I179" s="3" t="str">
        <f t="shared" si="2"/>
        <v>Married</v>
      </c>
      <c r="J179" s="2" t="s">
        <v>23</v>
      </c>
      <c r="K179" s="3" t="str">
        <f t="shared" si="3"/>
        <v>Male</v>
      </c>
      <c r="L179" s="2" t="s">
        <v>478</v>
      </c>
      <c r="M179" s="3" t="str">
        <f t="shared" si="4"/>
        <v>jessie16</v>
      </c>
      <c r="N179" s="4">
        <v>30000</v>
      </c>
      <c r="O179" s="6" t="str">
        <f t="shared" si="5"/>
        <v>Poor</v>
      </c>
      <c r="P179" s="2">
        <v>2</v>
      </c>
      <c r="Q179" s="2" t="s">
        <v>81</v>
      </c>
      <c r="R179" s="2" t="s">
        <v>94</v>
      </c>
      <c r="S179" s="2" t="s">
        <v>27</v>
      </c>
    </row>
    <row r="180" spans="1:19" ht="14.25" customHeight="1" x14ac:dyDescent="0.2">
      <c r="A180" s="2">
        <v>11028</v>
      </c>
      <c r="B180" s="2" t="s">
        <v>32</v>
      </c>
      <c r="C180" s="2" t="s">
        <v>33</v>
      </c>
      <c r="D180" s="2" t="s">
        <v>348</v>
      </c>
      <c r="E180" s="3" t="str">
        <f t="shared" si="0"/>
        <v>MRS. JILL JIMENEZ</v>
      </c>
      <c r="F180" s="7">
        <v>16903</v>
      </c>
      <c r="G180" s="3">
        <f t="shared" si="1"/>
        <v>1946</v>
      </c>
      <c r="H180" s="2" t="s">
        <v>23</v>
      </c>
      <c r="I180" s="3" t="str">
        <f t="shared" si="2"/>
        <v>Married</v>
      </c>
      <c r="J180" s="2" t="s">
        <v>35</v>
      </c>
      <c r="K180" s="3" t="str">
        <f t="shared" si="3"/>
        <v>Female</v>
      </c>
      <c r="L180" s="2" t="s">
        <v>479</v>
      </c>
      <c r="M180" s="3" t="str">
        <f t="shared" si="4"/>
        <v>jill13</v>
      </c>
      <c r="N180" s="4">
        <v>30000</v>
      </c>
      <c r="O180" s="6" t="str">
        <f t="shared" si="5"/>
        <v>Poor</v>
      </c>
      <c r="P180" s="2">
        <v>2</v>
      </c>
      <c r="Q180" s="2" t="s">
        <v>81</v>
      </c>
      <c r="R180" s="2" t="s">
        <v>94</v>
      </c>
      <c r="S180" s="2" t="s">
        <v>27</v>
      </c>
    </row>
    <row r="181" spans="1:19" ht="14.25" customHeight="1" x14ac:dyDescent="0.2">
      <c r="A181" s="2">
        <v>11029</v>
      </c>
      <c r="B181" s="2" t="s">
        <v>19</v>
      </c>
      <c r="C181" s="2" t="s">
        <v>480</v>
      </c>
      <c r="D181" s="2" t="s">
        <v>105</v>
      </c>
      <c r="E181" s="3" t="str">
        <f t="shared" si="0"/>
        <v>MR. JIMMY MORENO</v>
      </c>
      <c r="F181" s="7">
        <v>17157</v>
      </c>
      <c r="G181" s="3">
        <f t="shared" si="1"/>
        <v>1946</v>
      </c>
      <c r="H181" s="2" t="s">
        <v>23</v>
      </c>
      <c r="I181" s="3" t="str">
        <f t="shared" si="2"/>
        <v>Married</v>
      </c>
      <c r="J181" s="2" t="s">
        <v>23</v>
      </c>
      <c r="K181" s="3" t="str">
        <f t="shared" si="3"/>
        <v>Male</v>
      </c>
      <c r="L181" s="2" t="s">
        <v>481</v>
      </c>
      <c r="M181" s="3" t="str">
        <f t="shared" si="4"/>
        <v>jimmy9</v>
      </c>
      <c r="N181" s="4">
        <v>30000</v>
      </c>
      <c r="O181" s="6" t="str">
        <f t="shared" si="5"/>
        <v>Poor</v>
      </c>
      <c r="P181" s="2">
        <v>2</v>
      </c>
      <c r="Q181" s="2" t="s">
        <v>81</v>
      </c>
      <c r="R181" s="2" t="s">
        <v>94</v>
      </c>
      <c r="S181" s="2" t="s">
        <v>27</v>
      </c>
    </row>
    <row r="182" spans="1:19" ht="14.25" customHeight="1" x14ac:dyDescent="0.2">
      <c r="A182" s="2">
        <v>11030</v>
      </c>
      <c r="B182" s="2" t="s">
        <v>32</v>
      </c>
      <c r="C182" s="2" t="s">
        <v>482</v>
      </c>
      <c r="D182" s="2" t="s">
        <v>134</v>
      </c>
      <c r="E182" s="3" t="str">
        <f t="shared" si="0"/>
        <v>MRS. BETHANY YUAN</v>
      </c>
      <c r="F182" s="7">
        <v>17220</v>
      </c>
      <c r="G182" s="3">
        <f t="shared" si="1"/>
        <v>1947</v>
      </c>
      <c r="H182" s="2" t="s">
        <v>23</v>
      </c>
      <c r="I182" s="3" t="str">
        <f t="shared" si="2"/>
        <v>Married</v>
      </c>
      <c r="J182" s="2" t="s">
        <v>35</v>
      </c>
      <c r="K182" s="3" t="str">
        <f t="shared" si="3"/>
        <v>Female</v>
      </c>
      <c r="L182" s="2" t="s">
        <v>483</v>
      </c>
      <c r="M182" s="3" t="str">
        <f t="shared" si="4"/>
        <v>bethany10</v>
      </c>
      <c r="N182" s="4">
        <v>10000</v>
      </c>
      <c r="O182" s="6" t="str">
        <f t="shared" si="5"/>
        <v>Poor</v>
      </c>
      <c r="P182" s="2">
        <v>2</v>
      </c>
      <c r="Q182" s="2" t="s">
        <v>93</v>
      </c>
      <c r="R182" s="2" t="s">
        <v>94</v>
      </c>
      <c r="S182" s="2" t="s">
        <v>27</v>
      </c>
    </row>
    <row r="183" spans="1:19" ht="14.25" customHeight="1" x14ac:dyDescent="0.2">
      <c r="A183" s="2">
        <v>11031</v>
      </c>
      <c r="B183" s="2" t="s">
        <v>32</v>
      </c>
      <c r="C183" s="2" t="s">
        <v>484</v>
      </c>
      <c r="D183" s="2" t="s">
        <v>368</v>
      </c>
      <c r="E183" s="3" t="str">
        <f t="shared" si="0"/>
        <v>MRS. THERESA RAMOS</v>
      </c>
      <c r="F183" s="7">
        <v>17401</v>
      </c>
      <c r="G183" s="3">
        <f t="shared" si="1"/>
        <v>1947</v>
      </c>
      <c r="H183" s="2" t="s">
        <v>23</v>
      </c>
      <c r="I183" s="3" t="str">
        <f t="shared" si="2"/>
        <v>Married</v>
      </c>
      <c r="J183" s="2" t="s">
        <v>35</v>
      </c>
      <c r="K183" s="3" t="str">
        <f t="shared" si="3"/>
        <v>Female</v>
      </c>
      <c r="L183" s="2" t="s">
        <v>485</v>
      </c>
      <c r="M183" s="3" t="str">
        <f t="shared" si="4"/>
        <v>theresa13</v>
      </c>
      <c r="N183" s="4">
        <v>20000</v>
      </c>
      <c r="O183" s="6" t="str">
        <f t="shared" si="5"/>
        <v>Poor</v>
      </c>
      <c r="P183" s="2">
        <v>4</v>
      </c>
      <c r="Q183" s="2" t="s">
        <v>86</v>
      </c>
      <c r="R183" s="2" t="s">
        <v>82</v>
      </c>
      <c r="S183" s="2" t="s">
        <v>27</v>
      </c>
    </row>
    <row r="184" spans="1:19" ht="14.25" customHeight="1" x14ac:dyDescent="0.2">
      <c r="A184" s="2">
        <v>11032</v>
      </c>
      <c r="B184" s="2" t="s">
        <v>32</v>
      </c>
      <c r="C184" s="2" t="s">
        <v>255</v>
      </c>
      <c r="D184" s="2" t="s">
        <v>486</v>
      </c>
      <c r="E184" s="3" t="str">
        <f t="shared" si="0"/>
        <v>MRS. DENISE STONE</v>
      </c>
      <c r="F184" s="7">
        <v>17329</v>
      </c>
      <c r="G184" s="3">
        <f t="shared" si="1"/>
        <v>1947</v>
      </c>
      <c r="H184" s="2" t="s">
        <v>23</v>
      </c>
      <c r="I184" s="3" t="str">
        <f t="shared" si="2"/>
        <v>Married</v>
      </c>
      <c r="J184" s="2" t="s">
        <v>35</v>
      </c>
      <c r="K184" s="3" t="str">
        <f t="shared" si="3"/>
        <v>Female</v>
      </c>
      <c r="L184" s="2" t="s">
        <v>487</v>
      </c>
      <c r="M184" s="3" t="str">
        <f t="shared" si="4"/>
        <v>denise10</v>
      </c>
      <c r="N184" s="4">
        <v>20000</v>
      </c>
      <c r="O184" s="6" t="str">
        <f t="shared" si="5"/>
        <v>Poor</v>
      </c>
      <c r="P184" s="2">
        <v>4</v>
      </c>
      <c r="Q184" s="2" t="s">
        <v>86</v>
      </c>
      <c r="R184" s="2" t="s">
        <v>82</v>
      </c>
      <c r="S184" s="2" t="s">
        <v>27</v>
      </c>
    </row>
    <row r="185" spans="1:19" ht="14.25" customHeight="1" x14ac:dyDescent="0.2">
      <c r="A185" s="2">
        <v>11033</v>
      </c>
      <c r="B185" s="2" t="s">
        <v>19</v>
      </c>
      <c r="C185" s="2" t="s">
        <v>488</v>
      </c>
      <c r="D185" s="2" t="s">
        <v>489</v>
      </c>
      <c r="E185" s="3" t="str">
        <f t="shared" si="0"/>
        <v>MR. JAIME NATH</v>
      </c>
      <c r="F185" s="7">
        <v>17433</v>
      </c>
      <c r="G185" s="3">
        <f t="shared" si="1"/>
        <v>1947</v>
      </c>
      <c r="H185" s="2" t="s">
        <v>23</v>
      </c>
      <c r="I185" s="3" t="str">
        <f t="shared" si="2"/>
        <v>Married</v>
      </c>
      <c r="J185" s="2" t="s">
        <v>23</v>
      </c>
      <c r="K185" s="3" t="str">
        <f t="shared" si="3"/>
        <v>Male</v>
      </c>
      <c r="L185" s="2" t="s">
        <v>490</v>
      </c>
      <c r="M185" s="3" t="str">
        <f t="shared" si="4"/>
        <v>jaime41</v>
      </c>
      <c r="N185" s="4">
        <v>20000</v>
      </c>
      <c r="O185" s="6" t="str">
        <f t="shared" si="5"/>
        <v>Poor</v>
      </c>
      <c r="P185" s="2">
        <v>4</v>
      </c>
      <c r="Q185" s="2" t="s">
        <v>86</v>
      </c>
      <c r="R185" s="2" t="s">
        <v>82</v>
      </c>
      <c r="S185" s="2" t="s">
        <v>27</v>
      </c>
    </row>
    <row r="186" spans="1:19" ht="14.25" customHeight="1" x14ac:dyDescent="0.2">
      <c r="A186" s="2">
        <v>11034</v>
      </c>
      <c r="B186" s="2" t="s">
        <v>32</v>
      </c>
      <c r="C186" s="2" t="s">
        <v>316</v>
      </c>
      <c r="D186" s="2" t="s">
        <v>131</v>
      </c>
      <c r="E186" s="3" t="str">
        <f t="shared" si="0"/>
        <v>MRS. EBONY GONZALEZ</v>
      </c>
      <c r="F186" s="7">
        <v>17337</v>
      </c>
      <c r="G186" s="3">
        <f t="shared" si="1"/>
        <v>1947</v>
      </c>
      <c r="H186" s="2" t="s">
        <v>23</v>
      </c>
      <c r="I186" s="3" t="str">
        <f t="shared" si="2"/>
        <v>Married</v>
      </c>
      <c r="J186" s="2" t="s">
        <v>35</v>
      </c>
      <c r="K186" s="3" t="str">
        <f t="shared" si="3"/>
        <v>Female</v>
      </c>
      <c r="L186" s="2" t="s">
        <v>491</v>
      </c>
      <c r="M186" s="3" t="str">
        <f t="shared" si="4"/>
        <v>ebony19</v>
      </c>
      <c r="N186" s="4">
        <v>20000</v>
      </c>
      <c r="O186" s="6" t="str">
        <f t="shared" si="5"/>
        <v>Poor</v>
      </c>
      <c r="P186" s="2">
        <v>4</v>
      </c>
      <c r="Q186" s="2" t="s">
        <v>86</v>
      </c>
      <c r="R186" s="2" t="s">
        <v>82</v>
      </c>
      <c r="S186" s="2" t="s">
        <v>27</v>
      </c>
    </row>
    <row r="187" spans="1:19" ht="14.25" customHeight="1" x14ac:dyDescent="0.2">
      <c r="A187" s="2">
        <v>11035</v>
      </c>
      <c r="C187" s="2" t="s">
        <v>492</v>
      </c>
      <c r="D187" s="2" t="s">
        <v>493</v>
      </c>
      <c r="E187" s="3" t="str">
        <f t="shared" si="0"/>
        <v xml:space="preserve"> WENDY DOMINGUEZ</v>
      </c>
      <c r="F187" s="7">
        <v>17587</v>
      </c>
      <c r="G187" s="3">
        <f t="shared" si="1"/>
        <v>1948</v>
      </c>
      <c r="H187" s="2" t="s">
        <v>23</v>
      </c>
      <c r="I187" s="3" t="str">
        <f t="shared" si="2"/>
        <v>Married</v>
      </c>
      <c r="J187" s="2" t="s">
        <v>391</v>
      </c>
      <c r="K187" s="3" t="str">
        <f t="shared" si="3"/>
        <v>Female</v>
      </c>
      <c r="L187" s="2" t="s">
        <v>494</v>
      </c>
      <c r="M187" s="3" t="str">
        <f t="shared" si="4"/>
        <v>wendy12</v>
      </c>
      <c r="N187" s="4">
        <v>10000</v>
      </c>
      <c r="O187" s="6" t="str">
        <f t="shared" si="5"/>
        <v>Poor</v>
      </c>
      <c r="P187" s="2">
        <v>2</v>
      </c>
      <c r="Q187" s="2" t="s">
        <v>93</v>
      </c>
      <c r="R187" s="2" t="s">
        <v>94</v>
      </c>
      <c r="S187" s="2" t="s">
        <v>27</v>
      </c>
    </row>
    <row r="188" spans="1:19" ht="14.25" customHeight="1" x14ac:dyDescent="0.2">
      <c r="A188" s="2">
        <v>11036</v>
      </c>
      <c r="B188" s="2" t="s">
        <v>43</v>
      </c>
      <c r="C188" s="2" t="s">
        <v>119</v>
      </c>
      <c r="D188" s="2" t="s">
        <v>298</v>
      </c>
      <c r="E188" s="3" t="str">
        <f t="shared" si="0"/>
        <v>MS. JENNIFER RUSSELL</v>
      </c>
      <c r="F188" s="7">
        <v>28842</v>
      </c>
      <c r="G188" s="3">
        <f t="shared" si="1"/>
        <v>1978</v>
      </c>
      <c r="H188" s="2" t="s">
        <v>23</v>
      </c>
      <c r="I188" s="3" t="str">
        <f t="shared" si="2"/>
        <v>Married</v>
      </c>
      <c r="J188" s="2" t="s">
        <v>35</v>
      </c>
      <c r="K188" s="3" t="str">
        <f t="shared" si="3"/>
        <v>Female</v>
      </c>
      <c r="L188" s="2" t="s">
        <v>495</v>
      </c>
      <c r="M188" s="3" t="str">
        <f t="shared" si="4"/>
        <v>jennifer93</v>
      </c>
      <c r="N188" s="4">
        <v>60000</v>
      </c>
      <c r="O188" s="6" t="str">
        <f t="shared" si="5"/>
        <v>Average</v>
      </c>
      <c r="P188" s="2">
        <v>0</v>
      </c>
      <c r="Q188" s="2" t="s">
        <v>81</v>
      </c>
      <c r="R188" s="2" t="s">
        <v>82</v>
      </c>
      <c r="S188" s="2" t="s">
        <v>27</v>
      </c>
    </row>
    <row r="189" spans="1:19" ht="14.25" customHeight="1" x14ac:dyDescent="0.2">
      <c r="A189" s="2">
        <v>11037</v>
      </c>
      <c r="B189" s="2" t="s">
        <v>43</v>
      </c>
      <c r="C189" s="2" t="s">
        <v>453</v>
      </c>
      <c r="D189" s="2" t="s">
        <v>221</v>
      </c>
      <c r="E189" s="3" t="str">
        <f t="shared" si="0"/>
        <v>MS. CHLOE GARCIA</v>
      </c>
      <c r="F189" s="7">
        <v>28456</v>
      </c>
      <c r="G189" s="3">
        <f t="shared" si="1"/>
        <v>1977</v>
      </c>
      <c r="H189" s="2" t="s">
        <v>22</v>
      </c>
      <c r="I189" s="3" t="str">
        <f t="shared" si="2"/>
        <v>Single</v>
      </c>
      <c r="J189" s="2" t="s">
        <v>35</v>
      </c>
      <c r="K189" s="3" t="str">
        <f t="shared" si="3"/>
        <v>Female</v>
      </c>
      <c r="L189" s="2" t="s">
        <v>496</v>
      </c>
      <c r="M189" s="3" t="str">
        <f t="shared" si="4"/>
        <v>chloe27</v>
      </c>
      <c r="N189" s="4">
        <v>40000</v>
      </c>
      <c r="O189" s="6" t="str">
        <f t="shared" si="5"/>
        <v>Poor</v>
      </c>
      <c r="P189" s="2">
        <v>0</v>
      </c>
      <c r="Q189" s="2" t="s">
        <v>93</v>
      </c>
      <c r="R189" s="2" t="s">
        <v>94</v>
      </c>
      <c r="S189" s="2" t="s">
        <v>31</v>
      </c>
    </row>
    <row r="190" spans="1:19" ht="14.25" customHeight="1" x14ac:dyDescent="0.2">
      <c r="A190" s="2">
        <v>11038</v>
      </c>
      <c r="B190" s="2" t="s">
        <v>32</v>
      </c>
      <c r="C190" s="2" t="s">
        <v>497</v>
      </c>
      <c r="D190" s="2" t="s">
        <v>34</v>
      </c>
      <c r="E190" s="3" t="str">
        <f t="shared" si="0"/>
        <v>MRS. DIANA HERNANDEZ</v>
      </c>
      <c r="F190" s="7">
        <v>17615</v>
      </c>
      <c r="G190" s="3">
        <f t="shared" si="1"/>
        <v>1948</v>
      </c>
      <c r="H190" s="2" t="s">
        <v>23</v>
      </c>
      <c r="I190" s="3" t="str">
        <f t="shared" si="2"/>
        <v>Married</v>
      </c>
      <c r="J190" s="2" t="s">
        <v>35</v>
      </c>
      <c r="K190" s="3" t="str">
        <f t="shared" si="3"/>
        <v>Female</v>
      </c>
      <c r="L190" s="2" t="s">
        <v>498</v>
      </c>
      <c r="M190" s="3" t="str">
        <f t="shared" si="4"/>
        <v>diana2</v>
      </c>
      <c r="N190" s="4">
        <v>10000</v>
      </c>
      <c r="O190" s="6" t="str">
        <f t="shared" si="5"/>
        <v>Poor</v>
      </c>
      <c r="P190" s="2">
        <v>2</v>
      </c>
      <c r="Q190" s="2" t="s">
        <v>93</v>
      </c>
      <c r="R190" s="2" t="s">
        <v>94</v>
      </c>
      <c r="S190" s="2" t="s">
        <v>27</v>
      </c>
    </row>
    <row r="191" spans="1:19" ht="14.25" customHeight="1" x14ac:dyDescent="0.2">
      <c r="A191" s="2">
        <v>11039</v>
      </c>
      <c r="B191" s="2" t="s">
        <v>19</v>
      </c>
      <c r="C191" s="2" t="s">
        <v>104</v>
      </c>
      <c r="D191" s="2" t="s">
        <v>285</v>
      </c>
      <c r="E191" s="3" t="str">
        <f t="shared" si="0"/>
        <v>MR. MARC MARTIN</v>
      </c>
      <c r="F191" s="7">
        <v>17884</v>
      </c>
      <c r="G191" s="3">
        <f t="shared" si="1"/>
        <v>1948</v>
      </c>
      <c r="H191" s="2" t="s">
        <v>23</v>
      </c>
      <c r="I191" s="3" t="str">
        <f t="shared" si="2"/>
        <v>Married</v>
      </c>
      <c r="J191" s="2" t="s">
        <v>23</v>
      </c>
      <c r="K191" s="3" t="str">
        <f t="shared" si="3"/>
        <v>Male</v>
      </c>
      <c r="L191" s="2" t="s">
        <v>499</v>
      </c>
      <c r="M191" s="3" t="str">
        <f t="shared" si="4"/>
        <v>marc3</v>
      </c>
      <c r="N191" s="4">
        <v>30000</v>
      </c>
      <c r="O191" s="6" t="str">
        <f t="shared" si="5"/>
        <v>Poor</v>
      </c>
      <c r="P191" s="2">
        <v>3</v>
      </c>
      <c r="Q191" s="2" t="s">
        <v>81</v>
      </c>
      <c r="R191" s="2" t="s">
        <v>94</v>
      </c>
      <c r="S191" s="2" t="s">
        <v>27</v>
      </c>
    </row>
    <row r="192" spans="1:19" ht="14.25" customHeight="1" x14ac:dyDescent="0.2">
      <c r="A192" s="2">
        <v>11040</v>
      </c>
      <c r="B192" s="2" t="s">
        <v>19</v>
      </c>
      <c r="C192" s="2" t="s">
        <v>500</v>
      </c>
      <c r="D192" s="2" t="s">
        <v>88</v>
      </c>
      <c r="E192" s="3" t="str">
        <f t="shared" si="0"/>
        <v>MR. JESSE MURPHY</v>
      </c>
      <c r="F192" s="7">
        <v>28338</v>
      </c>
      <c r="G192" s="3">
        <f t="shared" si="1"/>
        <v>1977</v>
      </c>
      <c r="H192" s="2" t="s">
        <v>23</v>
      </c>
      <c r="I192" s="3" t="str">
        <f t="shared" si="2"/>
        <v>Married</v>
      </c>
      <c r="J192" s="2" t="s">
        <v>23</v>
      </c>
      <c r="K192" s="3" t="str">
        <f t="shared" si="3"/>
        <v>Male</v>
      </c>
      <c r="L192" s="2" t="s">
        <v>501</v>
      </c>
      <c r="M192" s="3" t="str">
        <f t="shared" si="4"/>
        <v>jesse15</v>
      </c>
      <c r="N192" s="4">
        <v>30000</v>
      </c>
      <c r="O192" s="6" t="str">
        <f t="shared" si="5"/>
        <v>Poor</v>
      </c>
      <c r="P192" s="2">
        <v>0</v>
      </c>
      <c r="Q192" s="2" t="s">
        <v>81</v>
      </c>
      <c r="R192" s="2" t="s">
        <v>82</v>
      </c>
      <c r="S192" s="2" t="s">
        <v>27</v>
      </c>
    </row>
    <row r="193" spans="1:19" ht="14.25" customHeight="1" x14ac:dyDescent="0.2">
      <c r="A193" s="2">
        <v>11041</v>
      </c>
      <c r="B193" s="2" t="s">
        <v>43</v>
      </c>
      <c r="C193" s="2" t="s">
        <v>502</v>
      </c>
      <c r="D193" s="2" t="s">
        <v>503</v>
      </c>
      <c r="E193" s="3" t="str">
        <f t="shared" si="0"/>
        <v>MS. AMANDA CARTER</v>
      </c>
      <c r="F193" s="7">
        <v>28414</v>
      </c>
      <c r="G193" s="3">
        <f t="shared" si="1"/>
        <v>1977</v>
      </c>
      <c r="H193" s="2" t="s">
        <v>23</v>
      </c>
      <c r="I193" s="3" t="str">
        <f t="shared" si="2"/>
        <v>Married</v>
      </c>
      <c r="J193" s="2" t="s">
        <v>35</v>
      </c>
      <c r="K193" s="3" t="str">
        <f t="shared" si="3"/>
        <v>Female</v>
      </c>
      <c r="L193" s="2" t="s">
        <v>504</v>
      </c>
      <c r="M193" s="3" t="str">
        <f t="shared" si="4"/>
        <v>amanda53</v>
      </c>
      <c r="N193" s="4">
        <v>60000</v>
      </c>
      <c r="O193" s="6" t="str">
        <f t="shared" si="5"/>
        <v>Average</v>
      </c>
      <c r="P193" s="2">
        <v>0</v>
      </c>
      <c r="Q193" s="2" t="s">
        <v>81</v>
      </c>
      <c r="R193" s="2" t="s">
        <v>82</v>
      </c>
      <c r="S193" s="2" t="s">
        <v>27</v>
      </c>
    </row>
    <row r="194" spans="1:19" ht="14.25" customHeight="1" x14ac:dyDescent="0.2">
      <c r="A194" s="2">
        <v>11042</v>
      </c>
      <c r="B194" s="2" t="s">
        <v>43</v>
      </c>
      <c r="C194" s="2" t="s">
        <v>277</v>
      </c>
      <c r="D194" s="2" t="s">
        <v>91</v>
      </c>
      <c r="E194" s="3" t="str">
        <f t="shared" si="0"/>
        <v>MS. MEGAN SANCHEZ</v>
      </c>
      <c r="F194" s="7">
        <v>28289</v>
      </c>
      <c r="G194" s="3">
        <f t="shared" si="1"/>
        <v>1977</v>
      </c>
      <c r="H194" s="2" t="s">
        <v>23</v>
      </c>
      <c r="I194" s="3" t="str">
        <f t="shared" si="2"/>
        <v>Married</v>
      </c>
      <c r="J194" s="2" t="s">
        <v>35</v>
      </c>
      <c r="K194" s="3" t="str">
        <f t="shared" si="3"/>
        <v>Female</v>
      </c>
      <c r="L194" s="2" t="s">
        <v>505</v>
      </c>
      <c r="M194" s="3" t="str">
        <f t="shared" si="4"/>
        <v>megan28</v>
      </c>
      <c r="N194" s="4">
        <v>70000</v>
      </c>
      <c r="O194" s="6" t="str">
        <f t="shared" si="5"/>
        <v>Average</v>
      </c>
      <c r="P194" s="2">
        <v>0</v>
      </c>
      <c r="Q194" s="2" t="s">
        <v>81</v>
      </c>
      <c r="R194" s="2" t="s">
        <v>82</v>
      </c>
      <c r="S194" s="2" t="s">
        <v>27</v>
      </c>
    </row>
    <row r="195" spans="1:19" ht="14.25" customHeight="1" x14ac:dyDescent="0.2">
      <c r="A195" s="2">
        <v>11043</v>
      </c>
      <c r="B195" s="2" t="s">
        <v>19</v>
      </c>
      <c r="C195" s="2" t="s">
        <v>506</v>
      </c>
      <c r="D195" s="2" t="s">
        <v>387</v>
      </c>
      <c r="E195" s="3" t="str">
        <f t="shared" si="0"/>
        <v>MR. NATHAN SIMMONS</v>
      </c>
      <c r="F195" s="7">
        <v>27814</v>
      </c>
      <c r="G195" s="3">
        <f t="shared" si="1"/>
        <v>1976</v>
      </c>
      <c r="H195" s="2" t="s">
        <v>23</v>
      </c>
      <c r="I195" s="3" t="str">
        <f t="shared" si="2"/>
        <v>Married</v>
      </c>
      <c r="J195" s="2" t="s">
        <v>23</v>
      </c>
      <c r="K195" s="3" t="str">
        <f t="shared" si="3"/>
        <v>Male</v>
      </c>
      <c r="L195" s="2" t="s">
        <v>507</v>
      </c>
      <c r="M195" s="3" t="str">
        <f t="shared" si="4"/>
        <v>nathan11</v>
      </c>
      <c r="N195" s="4">
        <v>60000</v>
      </c>
      <c r="O195" s="6" t="str">
        <f t="shared" si="5"/>
        <v>Average</v>
      </c>
      <c r="P195" s="2">
        <v>0</v>
      </c>
      <c r="Q195" s="2" t="s">
        <v>81</v>
      </c>
      <c r="R195" s="2" t="s">
        <v>82</v>
      </c>
      <c r="S195" s="2" t="s">
        <v>27</v>
      </c>
    </row>
    <row r="196" spans="1:19" ht="14.25" customHeight="1" x14ac:dyDescent="0.2">
      <c r="A196" s="2">
        <v>11044</v>
      </c>
      <c r="B196" s="2" t="s">
        <v>19</v>
      </c>
      <c r="C196" s="2" t="s">
        <v>225</v>
      </c>
      <c r="D196" s="2" t="s">
        <v>508</v>
      </c>
      <c r="E196" s="3" t="str">
        <f t="shared" si="0"/>
        <v>MR. ADAM FLORES</v>
      </c>
      <c r="F196" s="7">
        <v>18042</v>
      </c>
      <c r="G196" s="3">
        <f t="shared" si="1"/>
        <v>1949</v>
      </c>
      <c r="H196" s="2" t="s">
        <v>23</v>
      </c>
      <c r="I196" s="3" t="str">
        <f t="shared" si="2"/>
        <v>Married</v>
      </c>
      <c r="J196" s="2" t="s">
        <v>23</v>
      </c>
      <c r="K196" s="3" t="str">
        <f t="shared" si="3"/>
        <v>Male</v>
      </c>
      <c r="L196" s="2" t="s">
        <v>509</v>
      </c>
      <c r="M196" s="3" t="str">
        <f t="shared" si="4"/>
        <v>adam10</v>
      </c>
      <c r="N196" s="4">
        <v>20000</v>
      </c>
      <c r="O196" s="6" t="str">
        <f t="shared" si="5"/>
        <v>Poor</v>
      </c>
      <c r="P196" s="2">
        <v>2</v>
      </c>
      <c r="Q196" s="2" t="s">
        <v>93</v>
      </c>
      <c r="R196" s="2" t="s">
        <v>94</v>
      </c>
      <c r="S196" s="2" t="s">
        <v>27</v>
      </c>
    </row>
    <row r="197" spans="1:19" ht="14.25" customHeight="1" x14ac:dyDescent="0.2">
      <c r="A197" s="2">
        <v>11045</v>
      </c>
      <c r="B197" s="2" t="s">
        <v>19</v>
      </c>
      <c r="C197" s="2" t="s">
        <v>510</v>
      </c>
      <c r="D197" s="2" t="s">
        <v>511</v>
      </c>
      <c r="E197" s="3" t="str">
        <f t="shared" si="0"/>
        <v>MR. LEONARD NARA</v>
      </c>
      <c r="F197" s="7">
        <v>18402</v>
      </c>
      <c r="G197" s="3">
        <f t="shared" si="1"/>
        <v>1950</v>
      </c>
      <c r="H197" s="2" t="s">
        <v>22</v>
      </c>
      <c r="I197" s="3" t="str">
        <f t="shared" si="2"/>
        <v>Single</v>
      </c>
      <c r="J197" s="2" t="s">
        <v>23</v>
      </c>
      <c r="K197" s="3" t="str">
        <f t="shared" si="3"/>
        <v>Male</v>
      </c>
      <c r="L197" s="2" t="s">
        <v>512</v>
      </c>
      <c r="M197" s="3" t="str">
        <f t="shared" si="4"/>
        <v>leonard18</v>
      </c>
      <c r="N197" s="4">
        <v>30000</v>
      </c>
      <c r="O197" s="6" t="str">
        <f t="shared" si="5"/>
        <v>Poor</v>
      </c>
      <c r="P197" s="2">
        <v>3</v>
      </c>
      <c r="Q197" s="2" t="s">
        <v>86</v>
      </c>
      <c r="R197" s="2" t="s">
        <v>82</v>
      </c>
      <c r="S197" s="2" t="s">
        <v>31</v>
      </c>
    </row>
    <row r="198" spans="1:19" ht="14.25" customHeight="1" x14ac:dyDescent="0.2">
      <c r="A198" s="2">
        <v>11046</v>
      </c>
      <c r="B198" s="2" t="s">
        <v>32</v>
      </c>
      <c r="C198" s="2" t="s">
        <v>513</v>
      </c>
      <c r="D198" s="2" t="s">
        <v>134</v>
      </c>
      <c r="E198" s="3" t="str">
        <f t="shared" si="0"/>
        <v>MRS. CHRISTINE YUAN</v>
      </c>
      <c r="F198" s="7">
        <v>18344</v>
      </c>
      <c r="G198" s="3">
        <f t="shared" si="1"/>
        <v>1950</v>
      </c>
      <c r="H198" s="2" t="s">
        <v>23</v>
      </c>
      <c r="I198" s="3" t="str">
        <f t="shared" si="2"/>
        <v>Married</v>
      </c>
      <c r="J198" s="2" t="s">
        <v>35</v>
      </c>
      <c r="K198" s="3" t="str">
        <f t="shared" si="3"/>
        <v>Female</v>
      </c>
      <c r="L198" s="2" t="s">
        <v>514</v>
      </c>
      <c r="M198" s="3" t="str">
        <f t="shared" si="4"/>
        <v>christine4</v>
      </c>
      <c r="N198" s="4">
        <v>30000</v>
      </c>
      <c r="O198" s="6" t="str">
        <f t="shared" si="5"/>
        <v>Poor</v>
      </c>
      <c r="P198" s="2">
        <v>3</v>
      </c>
      <c r="Q198" s="2" t="s">
        <v>86</v>
      </c>
      <c r="R198" s="2" t="s">
        <v>82</v>
      </c>
      <c r="S198" s="2" t="s">
        <v>27</v>
      </c>
    </row>
    <row r="199" spans="1:19" ht="14.25" customHeight="1" x14ac:dyDescent="0.2">
      <c r="A199" s="2">
        <v>11047</v>
      </c>
      <c r="B199" s="2" t="s">
        <v>32</v>
      </c>
      <c r="C199" s="2" t="s">
        <v>341</v>
      </c>
      <c r="D199" s="2" t="s">
        <v>186</v>
      </c>
      <c r="E199" s="3" t="str">
        <f t="shared" si="0"/>
        <v>MRS. JACLYN LU</v>
      </c>
      <c r="F199" s="7">
        <v>18321</v>
      </c>
      <c r="G199" s="3">
        <f t="shared" si="1"/>
        <v>1950</v>
      </c>
      <c r="H199" s="2" t="s">
        <v>23</v>
      </c>
      <c r="I199" s="3" t="str">
        <f t="shared" si="2"/>
        <v>Married</v>
      </c>
      <c r="J199" s="2" t="s">
        <v>35</v>
      </c>
      <c r="K199" s="3" t="str">
        <f t="shared" si="3"/>
        <v>Female</v>
      </c>
      <c r="L199" s="2" t="s">
        <v>515</v>
      </c>
      <c r="M199" s="3" t="str">
        <f t="shared" si="4"/>
        <v>jaclyn12</v>
      </c>
      <c r="N199" s="4">
        <v>30000</v>
      </c>
      <c r="O199" s="6" t="str">
        <f t="shared" si="5"/>
        <v>Poor</v>
      </c>
      <c r="P199" s="2">
        <v>3</v>
      </c>
      <c r="Q199" s="2" t="s">
        <v>86</v>
      </c>
      <c r="R199" s="2" t="s">
        <v>82</v>
      </c>
      <c r="S199" s="2" t="s">
        <v>31</v>
      </c>
    </row>
    <row r="200" spans="1:19" ht="14.25" customHeight="1" x14ac:dyDescent="0.2">
      <c r="A200" s="2">
        <v>11048</v>
      </c>
      <c r="B200" s="2" t="s">
        <v>19</v>
      </c>
      <c r="C200" s="2" t="s">
        <v>113</v>
      </c>
      <c r="D200" s="2" t="s">
        <v>196</v>
      </c>
      <c r="E200" s="3" t="str">
        <f t="shared" si="0"/>
        <v>MR. JEREMY POWELL</v>
      </c>
      <c r="F200" s="7">
        <v>18589</v>
      </c>
      <c r="G200" s="3">
        <f t="shared" si="1"/>
        <v>1950</v>
      </c>
      <c r="H200" s="2" t="s">
        <v>23</v>
      </c>
      <c r="I200" s="3" t="str">
        <f t="shared" si="2"/>
        <v>Married</v>
      </c>
      <c r="J200" s="2" t="s">
        <v>23</v>
      </c>
      <c r="K200" s="3" t="str">
        <f t="shared" si="3"/>
        <v>Male</v>
      </c>
      <c r="L200" s="2" t="s">
        <v>516</v>
      </c>
      <c r="M200" s="3" t="str">
        <f t="shared" si="4"/>
        <v>jeremy26</v>
      </c>
      <c r="N200" s="4">
        <v>30000</v>
      </c>
      <c r="O200" s="6" t="str">
        <f t="shared" si="5"/>
        <v>Poor</v>
      </c>
      <c r="P200" s="2">
        <v>3</v>
      </c>
      <c r="Q200" s="2" t="s">
        <v>86</v>
      </c>
      <c r="R200" s="2" t="s">
        <v>82</v>
      </c>
      <c r="S200" s="2" t="s">
        <v>27</v>
      </c>
    </row>
    <row r="201" spans="1:19" ht="14.25" customHeight="1" x14ac:dyDescent="0.2">
      <c r="A201" s="2">
        <v>11049</v>
      </c>
      <c r="B201" s="2" t="s">
        <v>43</v>
      </c>
      <c r="C201" s="2" t="s">
        <v>517</v>
      </c>
      <c r="D201" s="2" t="s">
        <v>382</v>
      </c>
      <c r="E201" s="3" t="str">
        <f t="shared" si="0"/>
        <v>MS. CAROL RAI</v>
      </c>
      <c r="F201" s="7">
        <v>29420</v>
      </c>
      <c r="G201" s="3">
        <f t="shared" si="1"/>
        <v>1980</v>
      </c>
      <c r="H201" s="2" t="s">
        <v>22</v>
      </c>
      <c r="I201" s="3" t="str">
        <f t="shared" si="2"/>
        <v>Single</v>
      </c>
      <c r="J201" s="2" t="s">
        <v>35</v>
      </c>
      <c r="K201" s="3" t="str">
        <f t="shared" si="3"/>
        <v>Female</v>
      </c>
      <c r="L201" s="2" t="s">
        <v>518</v>
      </c>
      <c r="M201" s="3" t="str">
        <f t="shared" si="4"/>
        <v>carol8</v>
      </c>
      <c r="N201" s="4">
        <v>40000</v>
      </c>
      <c r="O201" s="6" t="str">
        <f t="shared" si="5"/>
        <v>Poor</v>
      </c>
      <c r="P201" s="2">
        <v>0</v>
      </c>
      <c r="Q201" s="2" t="s">
        <v>93</v>
      </c>
      <c r="R201" s="2" t="s">
        <v>94</v>
      </c>
      <c r="S201" s="2" t="s">
        <v>27</v>
      </c>
    </row>
    <row r="202" spans="1:19" ht="14.25" customHeight="1" x14ac:dyDescent="0.2">
      <c r="A202" s="2">
        <v>11050</v>
      </c>
      <c r="B202" s="2" t="s">
        <v>19</v>
      </c>
      <c r="C202" s="2" t="s">
        <v>519</v>
      </c>
      <c r="D202" s="2" t="s">
        <v>111</v>
      </c>
      <c r="E202" s="3" t="str">
        <f t="shared" si="0"/>
        <v>MR. ALAN ZHENG</v>
      </c>
      <c r="F202" s="7">
        <v>18878</v>
      </c>
      <c r="G202" s="3">
        <f t="shared" si="1"/>
        <v>1951</v>
      </c>
      <c r="H202" s="2" t="s">
        <v>23</v>
      </c>
      <c r="I202" s="3" t="str">
        <f t="shared" si="2"/>
        <v>Married</v>
      </c>
      <c r="J202" s="2" t="s">
        <v>23</v>
      </c>
      <c r="K202" s="3" t="str">
        <f t="shared" si="3"/>
        <v>Male</v>
      </c>
      <c r="L202" s="2" t="s">
        <v>520</v>
      </c>
      <c r="M202" s="3" t="str">
        <f t="shared" si="4"/>
        <v>alan23</v>
      </c>
      <c r="N202" s="4">
        <v>30000</v>
      </c>
      <c r="O202" s="6" t="str">
        <f t="shared" si="5"/>
        <v>Poor</v>
      </c>
      <c r="P202" s="2">
        <v>3</v>
      </c>
      <c r="Q202" s="2" t="s">
        <v>86</v>
      </c>
      <c r="R202" s="2" t="s">
        <v>82</v>
      </c>
      <c r="S202" s="2" t="s">
        <v>27</v>
      </c>
    </row>
    <row r="203" spans="1:19" ht="14.25" customHeight="1" x14ac:dyDescent="0.2">
      <c r="A203" s="2">
        <v>11051</v>
      </c>
      <c r="B203" s="2" t="s">
        <v>19</v>
      </c>
      <c r="C203" s="2" t="s">
        <v>269</v>
      </c>
      <c r="D203" s="2" t="s">
        <v>213</v>
      </c>
      <c r="E203" s="3" t="str">
        <f t="shared" si="0"/>
        <v>MR. DANIEL JOHNSON</v>
      </c>
      <c r="F203" s="7">
        <v>18844</v>
      </c>
      <c r="G203" s="3">
        <f t="shared" si="1"/>
        <v>1951</v>
      </c>
      <c r="H203" s="2" t="s">
        <v>22</v>
      </c>
      <c r="I203" s="3" t="str">
        <f t="shared" si="2"/>
        <v>Single</v>
      </c>
      <c r="J203" s="2" t="s">
        <v>23</v>
      </c>
      <c r="K203" s="3" t="str">
        <f t="shared" si="3"/>
        <v>Male</v>
      </c>
      <c r="L203" s="2" t="s">
        <v>521</v>
      </c>
      <c r="M203" s="3" t="str">
        <f t="shared" si="4"/>
        <v>daniel18</v>
      </c>
      <c r="N203" s="4">
        <v>30000</v>
      </c>
      <c r="O203" s="6" t="str">
        <f t="shared" si="5"/>
        <v>Poor</v>
      </c>
      <c r="P203" s="2">
        <v>3</v>
      </c>
      <c r="Q203" s="2" t="s">
        <v>86</v>
      </c>
      <c r="R203" s="2" t="s">
        <v>82</v>
      </c>
      <c r="S203" s="2" t="s">
        <v>31</v>
      </c>
    </row>
    <row r="204" spans="1:19" ht="14.25" customHeight="1" x14ac:dyDescent="0.2">
      <c r="A204" s="2">
        <v>11052</v>
      </c>
      <c r="B204" s="2" t="s">
        <v>32</v>
      </c>
      <c r="C204" s="2" t="s">
        <v>522</v>
      </c>
      <c r="D204" s="2" t="s">
        <v>123</v>
      </c>
      <c r="E204" s="3" t="str">
        <f t="shared" si="0"/>
        <v>MRS. HEIDI LOPEZ</v>
      </c>
      <c r="F204" s="7">
        <v>18847</v>
      </c>
      <c r="G204" s="3">
        <f t="shared" si="1"/>
        <v>1951</v>
      </c>
      <c r="H204" s="2" t="s">
        <v>22</v>
      </c>
      <c r="I204" s="3" t="str">
        <f t="shared" si="2"/>
        <v>Single</v>
      </c>
      <c r="J204" s="2" t="s">
        <v>35</v>
      </c>
      <c r="K204" s="3" t="str">
        <f t="shared" si="3"/>
        <v>Female</v>
      </c>
      <c r="L204" s="2" t="s">
        <v>523</v>
      </c>
      <c r="M204" s="3" t="str">
        <f t="shared" si="4"/>
        <v>heidi19</v>
      </c>
      <c r="N204" s="4">
        <v>40000</v>
      </c>
      <c r="O204" s="6" t="str">
        <f t="shared" si="5"/>
        <v>Poor</v>
      </c>
      <c r="P204" s="2">
        <v>2</v>
      </c>
      <c r="Q204" s="2" t="s">
        <v>81</v>
      </c>
      <c r="R204" s="2" t="s">
        <v>94</v>
      </c>
      <c r="S204" s="2" t="s">
        <v>31</v>
      </c>
    </row>
    <row r="205" spans="1:19" ht="14.25" customHeight="1" x14ac:dyDescent="0.2">
      <c r="A205" s="2">
        <v>11053</v>
      </c>
      <c r="B205" s="2" t="s">
        <v>43</v>
      </c>
      <c r="C205" s="2" t="s">
        <v>524</v>
      </c>
      <c r="D205" s="2" t="s">
        <v>525</v>
      </c>
      <c r="E205" s="3" t="str">
        <f t="shared" si="0"/>
        <v>MS. ANA PRICE</v>
      </c>
      <c r="F205" s="7">
        <v>29453</v>
      </c>
      <c r="G205" s="3">
        <f t="shared" si="1"/>
        <v>1980</v>
      </c>
      <c r="H205" s="2" t="s">
        <v>23</v>
      </c>
      <c r="I205" s="3" t="str">
        <f t="shared" si="2"/>
        <v>Married</v>
      </c>
      <c r="J205" s="2" t="s">
        <v>35</v>
      </c>
      <c r="K205" s="3" t="str">
        <f t="shared" si="3"/>
        <v>Female</v>
      </c>
      <c r="L205" s="2" t="s">
        <v>526</v>
      </c>
      <c r="M205" s="3" t="str">
        <f t="shared" si="4"/>
        <v>ana0</v>
      </c>
      <c r="N205" s="4">
        <v>60000</v>
      </c>
      <c r="O205" s="6" t="str">
        <f t="shared" si="5"/>
        <v>Average</v>
      </c>
      <c r="P205" s="2">
        <v>0</v>
      </c>
      <c r="Q205" s="2" t="s">
        <v>81</v>
      </c>
      <c r="R205" s="2" t="s">
        <v>82</v>
      </c>
      <c r="S205" s="2" t="s">
        <v>31</v>
      </c>
    </row>
    <row r="206" spans="1:19" ht="14.25" customHeight="1" x14ac:dyDescent="0.2">
      <c r="A206" s="2">
        <v>11054</v>
      </c>
      <c r="B206" s="2" t="s">
        <v>32</v>
      </c>
      <c r="C206" s="2" t="s">
        <v>284</v>
      </c>
      <c r="D206" s="2" t="s">
        <v>244</v>
      </c>
      <c r="E206" s="3" t="str">
        <f t="shared" si="0"/>
        <v>MRS. DEANNA MUNOZ</v>
      </c>
      <c r="F206" s="7">
        <v>19063</v>
      </c>
      <c r="G206" s="3">
        <f t="shared" si="1"/>
        <v>1952</v>
      </c>
      <c r="H206" s="2" t="s">
        <v>23</v>
      </c>
      <c r="I206" s="3" t="str">
        <f t="shared" si="2"/>
        <v>Married</v>
      </c>
      <c r="J206" s="2" t="s">
        <v>35</v>
      </c>
      <c r="K206" s="3" t="str">
        <f t="shared" si="3"/>
        <v>Female</v>
      </c>
      <c r="L206" s="2" t="s">
        <v>527</v>
      </c>
      <c r="M206" s="3" t="str">
        <f t="shared" si="4"/>
        <v>deanna33</v>
      </c>
      <c r="N206" s="4">
        <v>40000</v>
      </c>
      <c r="O206" s="6" t="str">
        <f t="shared" si="5"/>
        <v>Poor</v>
      </c>
      <c r="P206" s="2">
        <v>2</v>
      </c>
      <c r="Q206" s="2" t="s">
        <v>81</v>
      </c>
      <c r="R206" s="2" t="s">
        <v>82</v>
      </c>
      <c r="S206" s="2" t="s">
        <v>27</v>
      </c>
    </row>
    <row r="207" spans="1:19" ht="14.25" customHeight="1" x14ac:dyDescent="0.2">
      <c r="A207" s="2">
        <v>11055</v>
      </c>
      <c r="B207" s="2" t="s">
        <v>19</v>
      </c>
      <c r="C207" s="2" t="s">
        <v>403</v>
      </c>
      <c r="D207" s="2" t="s">
        <v>528</v>
      </c>
      <c r="E207" s="3" t="str">
        <f t="shared" si="0"/>
        <v>MR. GILBERT RAJE</v>
      </c>
      <c r="F207" s="7">
        <v>19058</v>
      </c>
      <c r="G207" s="3">
        <f t="shared" si="1"/>
        <v>1952</v>
      </c>
      <c r="H207" s="2" t="s">
        <v>23</v>
      </c>
      <c r="I207" s="3" t="str">
        <f t="shared" si="2"/>
        <v>Married</v>
      </c>
      <c r="J207" s="2" t="s">
        <v>23</v>
      </c>
      <c r="K207" s="3" t="str">
        <f t="shared" si="3"/>
        <v>Male</v>
      </c>
      <c r="L207" s="2" t="s">
        <v>529</v>
      </c>
      <c r="M207" s="3" t="str">
        <f t="shared" si="4"/>
        <v>gilbert35</v>
      </c>
      <c r="N207" s="4">
        <v>40000</v>
      </c>
      <c r="O207" s="6" t="str">
        <f t="shared" si="5"/>
        <v>Poor</v>
      </c>
      <c r="P207" s="2">
        <v>2</v>
      </c>
      <c r="Q207" s="2" t="s">
        <v>81</v>
      </c>
      <c r="R207" s="2" t="s">
        <v>82</v>
      </c>
      <c r="S207" s="2" t="s">
        <v>27</v>
      </c>
    </row>
    <row r="208" spans="1:19" ht="14.25" customHeight="1" x14ac:dyDescent="0.2">
      <c r="A208" s="2">
        <v>11056</v>
      </c>
      <c r="B208" s="2" t="s">
        <v>32</v>
      </c>
      <c r="C208" s="2" t="s">
        <v>249</v>
      </c>
      <c r="D208" s="2" t="s">
        <v>489</v>
      </c>
      <c r="E208" s="3" t="str">
        <f t="shared" si="0"/>
        <v>MRS. MICHELE NATH</v>
      </c>
      <c r="F208" s="7">
        <v>19452</v>
      </c>
      <c r="G208" s="3">
        <f t="shared" si="1"/>
        <v>1953</v>
      </c>
      <c r="H208" s="2" t="s">
        <v>23</v>
      </c>
      <c r="I208" s="3" t="str">
        <f t="shared" si="2"/>
        <v>Married</v>
      </c>
      <c r="J208" s="2" t="s">
        <v>35</v>
      </c>
      <c r="K208" s="3" t="str">
        <f t="shared" si="3"/>
        <v>Female</v>
      </c>
      <c r="L208" s="2" t="s">
        <v>530</v>
      </c>
      <c r="M208" s="3" t="str">
        <f t="shared" si="4"/>
        <v>michele19</v>
      </c>
      <c r="N208" s="4">
        <v>40000</v>
      </c>
      <c r="O208" s="6" t="str">
        <f t="shared" si="5"/>
        <v>Poor</v>
      </c>
      <c r="P208" s="2">
        <v>3</v>
      </c>
      <c r="Q208" s="2" t="s">
        <v>81</v>
      </c>
      <c r="R208" s="2" t="s">
        <v>82</v>
      </c>
      <c r="S208" s="2" t="s">
        <v>27</v>
      </c>
    </row>
    <row r="209" spans="1:19" ht="14.25" customHeight="1" x14ac:dyDescent="0.2">
      <c r="A209" s="2">
        <v>11057</v>
      </c>
      <c r="B209" s="2" t="s">
        <v>19</v>
      </c>
      <c r="C209" s="2" t="s">
        <v>531</v>
      </c>
      <c r="D209" s="2" t="s">
        <v>532</v>
      </c>
      <c r="E209" s="3" t="str">
        <f t="shared" si="0"/>
        <v>MR. CARL ANDERSEN</v>
      </c>
      <c r="F209" s="7">
        <v>19644</v>
      </c>
      <c r="G209" s="3">
        <f t="shared" si="1"/>
        <v>1953</v>
      </c>
      <c r="H209" s="2" t="s">
        <v>23</v>
      </c>
      <c r="I209" s="3" t="str">
        <f t="shared" si="2"/>
        <v>Married</v>
      </c>
      <c r="J209" s="2" t="s">
        <v>23</v>
      </c>
      <c r="K209" s="3" t="str">
        <f t="shared" si="3"/>
        <v>Male</v>
      </c>
      <c r="L209" s="2" t="s">
        <v>533</v>
      </c>
      <c r="M209" s="3" t="str">
        <f t="shared" si="4"/>
        <v>carl12</v>
      </c>
      <c r="N209" s="4">
        <v>70000</v>
      </c>
      <c r="O209" s="6" t="str">
        <f t="shared" si="5"/>
        <v>Average</v>
      </c>
      <c r="P209" s="2">
        <v>2</v>
      </c>
      <c r="Q209" s="2" t="s">
        <v>25</v>
      </c>
      <c r="R209" s="2" t="s">
        <v>26</v>
      </c>
      <c r="S209" s="2" t="s">
        <v>27</v>
      </c>
    </row>
    <row r="210" spans="1:19" ht="14.25" customHeight="1" x14ac:dyDescent="0.2">
      <c r="A210" s="2">
        <v>11058</v>
      </c>
      <c r="B210" s="2" t="s">
        <v>19</v>
      </c>
      <c r="C210" s="2" t="s">
        <v>104</v>
      </c>
      <c r="D210" s="2" t="s">
        <v>96</v>
      </c>
      <c r="E210" s="3" t="str">
        <f t="shared" si="0"/>
        <v>MR. MARC DIAZ</v>
      </c>
      <c r="F210" s="7">
        <v>19841</v>
      </c>
      <c r="G210" s="3">
        <f t="shared" si="1"/>
        <v>1954</v>
      </c>
      <c r="H210" s="2" t="s">
        <v>23</v>
      </c>
      <c r="I210" s="3" t="str">
        <f t="shared" si="2"/>
        <v>Married</v>
      </c>
      <c r="J210" s="2" t="s">
        <v>23</v>
      </c>
      <c r="K210" s="3" t="str">
        <f t="shared" si="3"/>
        <v>Male</v>
      </c>
      <c r="L210" s="2" t="s">
        <v>534</v>
      </c>
      <c r="M210" s="3" t="str">
        <f t="shared" si="4"/>
        <v>marc6</v>
      </c>
      <c r="N210" s="4">
        <v>80000</v>
      </c>
      <c r="O210" s="6" t="str">
        <f t="shared" si="5"/>
        <v>Average</v>
      </c>
      <c r="P210" s="2">
        <v>2</v>
      </c>
      <c r="Q210" s="2" t="s">
        <v>81</v>
      </c>
      <c r="R210" s="2" t="s">
        <v>82</v>
      </c>
      <c r="S210" s="2" t="s">
        <v>27</v>
      </c>
    </row>
    <row r="211" spans="1:19" ht="14.25" customHeight="1" x14ac:dyDescent="0.2">
      <c r="A211" s="2">
        <v>11059</v>
      </c>
      <c r="B211" s="2" t="s">
        <v>32</v>
      </c>
      <c r="C211" s="2" t="s">
        <v>535</v>
      </c>
      <c r="D211" s="2" t="s">
        <v>532</v>
      </c>
      <c r="E211" s="3" t="str">
        <f t="shared" si="0"/>
        <v>MRS. ASHLEE ANDERSEN</v>
      </c>
      <c r="F211" s="7">
        <v>19815</v>
      </c>
      <c r="G211" s="3">
        <f t="shared" si="1"/>
        <v>1954</v>
      </c>
      <c r="H211" s="2" t="s">
        <v>22</v>
      </c>
      <c r="I211" s="3" t="str">
        <f t="shared" si="2"/>
        <v>Single</v>
      </c>
      <c r="J211" s="2" t="s">
        <v>35</v>
      </c>
      <c r="K211" s="3" t="str">
        <f t="shared" si="3"/>
        <v>Female</v>
      </c>
      <c r="L211" s="2" t="s">
        <v>536</v>
      </c>
      <c r="M211" s="3" t="str">
        <f t="shared" si="4"/>
        <v>ashlee19</v>
      </c>
      <c r="N211" s="4">
        <v>80000</v>
      </c>
      <c r="O211" s="6" t="str">
        <f t="shared" si="5"/>
        <v>Average</v>
      </c>
      <c r="P211" s="2">
        <v>2</v>
      </c>
      <c r="Q211" s="2" t="s">
        <v>81</v>
      </c>
      <c r="R211" s="2" t="s">
        <v>82</v>
      </c>
      <c r="S211" s="2" t="s">
        <v>27</v>
      </c>
    </row>
    <row r="212" spans="1:19" ht="14.25" customHeight="1" x14ac:dyDescent="0.2">
      <c r="A212" s="2">
        <v>11060</v>
      </c>
      <c r="B212" s="2" t="s">
        <v>19</v>
      </c>
      <c r="C212" s="2" t="s">
        <v>425</v>
      </c>
      <c r="D212" s="2" t="s">
        <v>537</v>
      </c>
      <c r="E212" s="3" t="str">
        <f t="shared" si="0"/>
        <v>MR. JON ZHOU</v>
      </c>
      <c r="F212" s="7">
        <v>19800</v>
      </c>
      <c r="G212" s="3">
        <f t="shared" si="1"/>
        <v>1954</v>
      </c>
      <c r="H212" s="2" t="s">
        <v>23</v>
      </c>
      <c r="I212" s="3" t="str">
        <f t="shared" si="2"/>
        <v>Married</v>
      </c>
      <c r="J212" s="2" t="s">
        <v>23</v>
      </c>
      <c r="K212" s="3" t="str">
        <f t="shared" si="3"/>
        <v>Male</v>
      </c>
      <c r="L212" s="2" t="s">
        <v>538</v>
      </c>
      <c r="M212" s="3" t="str">
        <f t="shared" si="4"/>
        <v>jon28</v>
      </c>
      <c r="N212" s="4">
        <v>80000</v>
      </c>
      <c r="O212" s="6" t="str">
        <f t="shared" si="5"/>
        <v>Average</v>
      </c>
      <c r="P212" s="2">
        <v>2</v>
      </c>
      <c r="Q212" s="2" t="s">
        <v>81</v>
      </c>
      <c r="R212" s="2" t="s">
        <v>82</v>
      </c>
      <c r="S212" s="2" t="s">
        <v>27</v>
      </c>
    </row>
    <row r="213" spans="1:19" ht="14.25" customHeight="1" x14ac:dyDescent="0.2">
      <c r="A213" s="2">
        <v>11061</v>
      </c>
      <c r="B213" s="2" t="s">
        <v>19</v>
      </c>
      <c r="C213" s="2" t="s">
        <v>539</v>
      </c>
      <c r="D213" s="2" t="s">
        <v>328</v>
      </c>
      <c r="E213" s="3" t="str">
        <f t="shared" si="0"/>
        <v>MR. TODD GAO</v>
      </c>
      <c r="F213" s="7">
        <v>19782</v>
      </c>
      <c r="G213" s="3">
        <f t="shared" si="1"/>
        <v>1954</v>
      </c>
      <c r="H213" s="2" t="s">
        <v>23</v>
      </c>
      <c r="I213" s="3" t="str">
        <f t="shared" si="2"/>
        <v>Married</v>
      </c>
      <c r="J213" s="2" t="s">
        <v>23</v>
      </c>
      <c r="K213" s="3" t="str">
        <f t="shared" si="3"/>
        <v>Male</v>
      </c>
      <c r="L213" s="2" t="s">
        <v>540</v>
      </c>
      <c r="M213" s="3" t="str">
        <f t="shared" si="4"/>
        <v>todd14</v>
      </c>
      <c r="N213" s="4">
        <v>80000</v>
      </c>
      <c r="O213" s="6" t="str">
        <f t="shared" si="5"/>
        <v>Average</v>
      </c>
      <c r="P213" s="2">
        <v>2</v>
      </c>
      <c r="Q213" s="2" t="s">
        <v>81</v>
      </c>
      <c r="R213" s="2" t="s">
        <v>82</v>
      </c>
      <c r="S213" s="2" t="s">
        <v>27</v>
      </c>
    </row>
    <row r="214" spans="1:19" ht="14.25" customHeight="1" x14ac:dyDescent="0.2">
      <c r="A214" s="2">
        <v>11062</v>
      </c>
      <c r="B214" s="2" t="s">
        <v>19</v>
      </c>
      <c r="C214" s="2" t="s">
        <v>541</v>
      </c>
      <c r="D214" s="2" t="s">
        <v>196</v>
      </c>
      <c r="E214" s="3" t="str">
        <f t="shared" si="0"/>
        <v>MR. NOAH POWELL</v>
      </c>
      <c r="F214" s="7">
        <v>27639</v>
      </c>
      <c r="G214" s="3">
        <f t="shared" si="1"/>
        <v>1975</v>
      </c>
      <c r="H214" s="2" t="s">
        <v>23</v>
      </c>
      <c r="I214" s="3" t="str">
        <f t="shared" si="2"/>
        <v>Married</v>
      </c>
      <c r="J214" s="2" t="s">
        <v>23</v>
      </c>
      <c r="K214" s="3" t="str">
        <f t="shared" si="3"/>
        <v>Male</v>
      </c>
      <c r="L214" s="2" t="s">
        <v>542</v>
      </c>
      <c r="M214" s="3" t="str">
        <f t="shared" si="4"/>
        <v>noah5</v>
      </c>
      <c r="N214" s="4">
        <v>40000</v>
      </c>
      <c r="O214" s="6" t="str">
        <f t="shared" si="5"/>
        <v>Poor</v>
      </c>
      <c r="P214" s="2">
        <v>0</v>
      </c>
      <c r="Q214" s="2" t="s">
        <v>86</v>
      </c>
      <c r="R214" s="2" t="s">
        <v>82</v>
      </c>
      <c r="S214" s="2" t="s">
        <v>27</v>
      </c>
    </row>
    <row r="215" spans="1:19" ht="14.25" customHeight="1" x14ac:dyDescent="0.2">
      <c r="A215" s="2">
        <v>11063</v>
      </c>
      <c r="B215" s="2" t="s">
        <v>43</v>
      </c>
      <c r="C215" s="2" t="s">
        <v>543</v>
      </c>
      <c r="D215" s="2" t="s">
        <v>88</v>
      </c>
      <c r="E215" s="3" t="str">
        <f t="shared" si="0"/>
        <v>MS. ANGELA MURPHY</v>
      </c>
      <c r="F215" s="7">
        <v>27491</v>
      </c>
      <c r="G215" s="3">
        <f t="shared" si="1"/>
        <v>1975</v>
      </c>
      <c r="H215" s="2" t="s">
        <v>22</v>
      </c>
      <c r="I215" s="3" t="str">
        <f t="shared" si="2"/>
        <v>Single</v>
      </c>
      <c r="J215" s="2" t="s">
        <v>35</v>
      </c>
      <c r="K215" s="3" t="str">
        <f t="shared" si="3"/>
        <v>Female</v>
      </c>
      <c r="L215" s="2" t="s">
        <v>544</v>
      </c>
      <c r="M215" s="3" t="str">
        <f t="shared" si="4"/>
        <v>angela41</v>
      </c>
      <c r="N215" s="4">
        <v>40000</v>
      </c>
      <c r="O215" s="6" t="str">
        <f t="shared" si="5"/>
        <v>Poor</v>
      </c>
      <c r="P215" s="2">
        <v>0</v>
      </c>
      <c r="Q215" s="2" t="s">
        <v>86</v>
      </c>
      <c r="R215" s="2" t="s">
        <v>82</v>
      </c>
      <c r="S215" s="2" t="s">
        <v>27</v>
      </c>
    </row>
    <row r="216" spans="1:19" ht="14.25" customHeight="1" x14ac:dyDescent="0.2">
      <c r="A216" s="2">
        <v>11064</v>
      </c>
      <c r="B216" s="2" t="s">
        <v>19</v>
      </c>
      <c r="C216" s="2" t="s">
        <v>545</v>
      </c>
      <c r="D216" s="2" t="s">
        <v>546</v>
      </c>
      <c r="E216" s="3" t="str">
        <f t="shared" si="0"/>
        <v>MR. CHASE REED</v>
      </c>
      <c r="F216" s="7">
        <v>27735</v>
      </c>
      <c r="G216" s="3">
        <f t="shared" si="1"/>
        <v>1975</v>
      </c>
      <c r="H216" s="2" t="s">
        <v>23</v>
      </c>
      <c r="I216" s="3" t="str">
        <f t="shared" si="2"/>
        <v>Married</v>
      </c>
      <c r="J216" s="2" t="s">
        <v>23</v>
      </c>
      <c r="K216" s="3" t="str">
        <f t="shared" si="3"/>
        <v>Male</v>
      </c>
      <c r="L216" s="2" t="s">
        <v>547</v>
      </c>
      <c r="M216" s="3" t="str">
        <f t="shared" si="4"/>
        <v>chase21</v>
      </c>
      <c r="N216" s="4">
        <v>40000</v>
      </c>
      <c r="O216" s="6" t="str">
        <f t="shared" si="5"/>
        <v>Poor</v>
      </c>
      <c r="P216" s="2">
        <v>0</v>
      </c>
      <c r="Q216" s="2" t="s">
        <v>86</v>
      </c>
      <c r="R216" s="2" t="s">
        <v>82</v>
      </c>
      <c r="S216" s="2" t="s">
        <v>27</v>
      </c>
    </row>
    <row r="217" spans="1:19" ht="14.25" customHeight="1" x14ac:dyDescent="0.2">
      <c r="A217" s="2">
        <v>11065</v>
      </c>
      <c r="B217" s="2" t="s">
        <v>43</v>
      </c>
      <c r="C217" s="2" t="s">
        <v>212</v>
      </c>
      <c r="D217" s="2" t="s">
        <v>548</v>
      </c>
      <c r="E217" s="3" t="str">
        <f t="shared" si="0"/>
        <v>MS. JESSICA HENDERSON</v>
      </c>
      <c r="F217" s="7">
        <v>26946</v>
      </c>
      <c r="G217" s="3">
        <f t="shared" si="1"/>
        <v>1973</v>
      </c>
      <c r="H217" s="2" t="s">
        <v>23</v>
      </c>
      <c r="I217" s="3" t="str">
        <f t="shared" si="2"/>
        <v>Married</v>
      </c>
      <c r="J217" s="2" t="s">
        <v>35</v>
      </c>
      <c r="K217" s="3" t="str">
        <f t="shared" si="3"/>
        <v>Female</v>
      </c>
      <c r="L217" s="2" t="s">
        <v>549</v>
      </c>
      <c r="M217" s="3" t="str">
        <f t="shared" si="4"/>
        <v>jessica29</v>
      </c>
      <c r="N217" s="4">
        <v>60000</v>
      </c>
      <c r="O217" s="6" t="str">
        <f t="shared" si="5"/>
        <v>Average</v>
      </c>
      <c r="P217" s="2">
        <v>0</v>
      </c>
      <c r="Q217" s="2" t="s">
        <v>81</v>
      </c>
      <c r="R217" s="2" t="s">
        <v>82</v>
      </c>
      <c r="S217" s="2" t="s">
        <v>31</v>
      </c>
    </row>
    <row r="218" spans="1:19" ht="14.25" customHeight="1" x14ac:dyDescent="0.2">
      <c r="A218" s="2">
        <v>11066</v>
      </c>
      <c r="B218" s="2" t="s">
        <v>43</v>
      </c>
      <c r="C218" s="2" t="s">
        <v>237</v>
      </c>
      <c r="D218" s="2" t="s">
        <v>265</v>
      </c>
      <c r="E218" s="3" t="str">
        <f t="shared" si="0"/>
        <v>MS. GRACE BUTLER</v>
      </c>
      <c r="F218" s="7">
        <v>26995</v>
      </c>
      <c r="G218" s="3">
        <f t="shared" si="1"/>
        <v>1973</v>
      </c>
      <c r="H218" s="2" t="s">
        <v>23</v>
      </c>
      <c r="I218" s="3" t="str">
        <f t="shared" si="2"/>
        <v>Married</v>
      </c>
      <c r="J218" s="2" t="s">
        <v>35</v>
      </c>
      <c r="K218" s="3" t="str">
        <f t="shared" si="3"/>
        <v>Female</v>
      </c>
      <c r="L218" s="2" t="s">
        <v>550</v>
      </c>
      <c r="M218" s="3" t="str">
        <f t="shared" si="4"/>
        <v>grace62</v>
      </c>
      <c r="N218" s="4">
        <v>70000</v>
      </c>
      <c r="O218" s="6" t="str">
        <f t="shared" si="5"/>
        <v>Average</v>
      </c>
      <c r="P218" s="2">
        <v>0</v>
      </c>
      <c r="Q218" s="2" t="s">
        <v>81</v>
      </c>
      <c r="R218" s="2" t="s">
        <v>48</v>
      </c>
      <c r="S218" s="2" t="s">
        <v>27</v>
      </c>
    </row>
    <row r="219" spans="1:19" ht="14.25" customHeight="1" x14ac:dyDescent="0.2">
      <c r="A219" s="2">
        <v>11067</v>
      </c>
      <c r="B219" s="2" t="s">
        <v>19</v>
      </c>
      <c r="C219" s="2" t="s">
        <v>551</v>
      </c>
      <c r="D219" s="2" t="s">
        <v>503</v>
      </c>
      <c r="E219" s="3" t="str">
        <f t="shared" si="0"/>
        <v>MR. CALEB CARTER</v>
      </c>
      <c r="F219" s="7">
        <v>28028</v>
      </c>
      <c r="G219" s="3">
        <f t="shared" si="1"/>
        <v>1976</v>
      </c>
      <c r="H219" s="2" t="s">
        <v>22</v>
      </c>
      <c r="I219" s="3" t="str">
        <f t="shared" si="2"/>
        <v>Single</v>
      </c>
      <c r="J219" s="2" t="s">
        <v>23</v>
      </c>
      <c r="K219" s="3" t="str">
        <f t="shared" si="3"/>
        <v>Male</v>
      </c>
      <c r="L219" s="2" t="s">
        <v>552</v>
      </c>
      <c r="M219" s="3" t="str">
        <f t="shared" si="4"/>
        <v>caleb40</v>
      </c>
      <c r="N219" s="4">
        <v>60000</v>
      </c>
      <c r="O219" s="6" t="str">
        <f t="shared" si="5"/>
        <v>Average</v>
      </c>
      <c r="P219" s="2">
        <v>0</v>
      </c>
      <c r="Q219" s="2" t="s">
        <v>81</v>
      </c>
      <c r="R219" s="2" t="s">
        <v>48</v>
      </c>
      <c r="S219" s="2" t="s">
        <v>27</v>
      </c>
    </row>
    <row r="220" spans="1:19" ht="14.25" customHeight="1" x14ac:dyDescent="0.2">
      <c r="A220" s="2">
        <v>11068</v>
      </c>
      <c r="B220" s="2" t="s">
        <v>32</v>
      </c>
      <c r="C220" s="2" t="s">
        <v>553</v>
      </c>
      <c r="D220" s="2" t="s">
        <v>554</v>
      </c>
      <c r="E220" s="3" t="str">
        <f t="shared" si="0"/>
        <v>MRS. TIFFANY LIANG</v>
      </c>
      <c r="F220" s="7">
        <v>20355</v>
      </c>
      <c r="G220" s="3">
        <f t="shared" si="1"/>
        <v>1955</v>
      </c>
      <c r="H220" s="2" t="s">
        <v>22</v>
      </c>
      <c r="I220" s="3" t="str">
        <f t="shared" si="2"/>
        <v>Single</v>
      </c>
      <c r="J220" s="2" t="s">
        <v>35</v>
      </c>
      <c r="K220" s="3" t="str">
        <f t="shared" si="3"/>
        <v>Female</v>
      </c>
      <c r="L220" s="2" t="s">
        <v>555</v>
      </c>
      <c r="M220" s="3" t="str">
        <f t="shared" si="4"/>
        <v>tiffany17</v>
      </c>
      <c r="N220" s="4">
        <v>80000</v>
      </c>
      <c r="O220" s="6" t="str">
        <f t="shared" si="5"/>
        <v>Average</v>
      </c>
      <c r="P220" s="2">
        <v>2</v>
      </c>
      <c r="Q220" s="2" t="s">
        <v>86</v>
      </c>
      <c r="R220" s="2" t="s">
        <v>82</v>
      </c>
      <c r="S220" s="2" t="s">
        <v>27</v>
      </c>
    </row>
    <row r="221" spans="1:19" ht="14.25" customHeight="1" x14ac:dyDescent="0.2">
      <c r="A221" s="2">
        <v>11069</v>
      </c>
      <c r="B221" s="2" t="s">
        <v>32</v>
      </c>
      <c r="C221" s="2" t="s">
        <v>556</v>
      </c>
      <c r="D221" s="2" t="s">
        <v>323</v>
      </c>
      <c r="E221" s="3" t="str">
        <f t="shared" si="0"/>
        <v>MRS. CAROLYN NAVARRO</v>
      </c>
      <c r="F221" s="7">
        <v>20353</v>
      </c>
      <c r="G221" s="3">
        <f t="shared" si="1"/>
        <v>1955</v>
      </c>
      <c r="H221" s="2" t="s">
        <v>22</v>
      </c>
      <c r="I221" s="3" t="str">
        <f t="shared" si="2"/>
        <v>Single</v>
      </c>
      <c r="J221" s="2" t="s">
        <v>35</v>
      </c>
      <c r="K221" s="3" t="str">
        <f t="shared" si="3"/>
        <v>Female</v>
      </c>
      <c r="L221" s="2" t="s">
        <v>557</v>
      </c>
      <c r="M221" s="3" t="str">
        <f t="shared" si="4"/>
        <v>carolyn30</v>
      </c>
      <c r="N221" s="4">
        <v>80000</v>
      </c>
      <c r="O221" s="6" t="str">
        <f t="shared" si="5"/>
        <v>Average</v>
      </c>
      <c r="P221" s="2">
        <v>2</v>
      </c>
      <c r="Q221" s="2" t="s">
        <v>86</v>
      </c>
      <c r="R221" s="2" t="s">
        <v>82</v>
      </c>
      <c r="S221" s="2" t="s">
        <v>31</v>
      </c>
    </row>
    <row r="222" spans="1:19" ht="14.25" customHeight="1" x14ac:dyDescent="0.2">
      <c r="A222" s="2">
        <v>11070</v>
      </c>
      <c r="B222" s="2" t="s">
        <v>19</v>
      </c>
      <c r="C222" s="2" t="s">
        <v>558</v>
      </c>
      <c r="D222" s="2" t="s">
        <v>309</v>
      </c>
      <c r="E222" s="3" t="str">
        <f t="shared" si="0"/>
        <v>MR. WILLIE RAJI</v>
      </c>
      <c r="F222" s="7">
        <v>20184</v>
      </c>
      <c r="G222" s="3">
        <f t="shared" si="1"/>
        <v>1955</v>
      </c>
      <c r="H222" s="2" t="s">
        <v>23</v>
      </c>
      <c r="I222" s="3" t="str">
        <f t="shared" si="2"/>
        <v>Married</v>
      </c>
      <c r="J222" s="2" t="s">
        <v>23</v>
      </c>
      <c r="K222" s="3" t="str">
        <f t="shared" si="3"/>
        <v>Male</v>
      </c>
      <c r="L222" s="2" t="s">
        <v>559</v>
      </c>
      <c r="M222" s="3" t="str">
        <f t="shared" si="4"/>
        <v>willie40</v>
      </c>
      <c r="N222" s="4">
        <v>80000</v>
      </c>
      <c r="O222" s="6" t="str">
        <f t="shared" si="5"/>
        <v>Average</v>
      </c>
      <c r="P222" s="2">
        <v>2</v>
      </c>
      <c r="Q222" s="2" t="s">
        <v>86</v>
      </c>
      <c r="R222" s="2" t="s">
        <v>82</v>
      </c>
      <c r="S222" s="2" t="s">
        <v>27</v>
      </c>
    </row>
    <row r="223" spans="1:19" ht="14.25" customHeight="1" x14ac:dyDescent="0.2">
      <c r="A223" s="2">
        <v>11071</v>
      </c>
      <c r="B223" s="2" t="s">
        <v>32</v>
      </c>
      <c r="C223" s="2" t="s">
        <v>413</v>
      </c>
      <c r="D223" s="2" t="s">
        <v>108</v>
      </c>
      <c r="E223" s="3" t="str">
        <f t="shared" si="0"/>
        <v>MRS. LINDA SERRANO</v>
      </c>
      <c r="F223" s="7">
        <v>20266</v>
      </c>
      <c r="G223" s="3">
        <f t="shared" si="1"/>
        <v>1955</v>
      </c>
      <c r="H223" s="2" t="s">
        <v>22</v>
      </c>
      <c r="I223" s="3" t="str">
        <f t="shared" si="2"/>
        <v>Single</v>
      </c>
      <c r="J223" s="2" t="s">
        <v>35</v>
      </c>
      <c r="K223" s="3" t="str">
        <f t="shared" si="3"/>
        <v>Female</v>
      </c>
      <c r="L223" s="2" t="s">
        <v>560</v>
      </c>
      <c r="M223" s="3" t="str">
        <f t="shared" si="4"/>
        <v>linda31</v>
      </c>
      <c r="N223" s="4">
        <v>80000</v>
      </c>
      <c r="O223" s="6" t="str">
        <f t="shared" si="5"/>
        <v>Average</v>
      </c>
      <c r="P223" s="2">
        <v>2</v>
      </c>
      <c r="Q223" s="2" t="s">
        <v>86</v>
      </c>
      <c r="R223" s="2" t="s">
        <v>82</v>
      </c>
      <c r="S223" s="2" t="s">
        <v>27</v>
      </c>
    </row>
    <row r="224" spans="1:19" ht="14.25" customHeight="1" x14ac:dyDescent="0.2">
      <c r="A224" s="2">
        <v>11072</v>
      </c>
      <c r="B224" s="2" t="s">
        <v>32</v>
      </c>
      <c r="C224" s="2" t="s">
        <v>374</v>
      </c>
      <c r="D224" s="2" t="s">
        <v>561</v>
      </c>
      <c r="E224" s="3" t="str">
        <f t="shared" si="0"/>
        <v>MRS. CASEY LUO</v>
      </c>
      <c r="F224" s="7">
        <v>20126</v>
      </c>
      <c r="G224" s="3">
        <f t="shared" si="1"/>
        <v>1955</v>
      </c>
      <c r="H224" s="2" t="s">
        <v>22</v>
      </c>
      <c r="I224" s="3" t="str">
        <f t="shared" si="2"/>
        <v>Single</v>
      </c>
      <c r="J224" s="2" t="s">
        <v>35</v>
      </c>
      <c r="K224" s="3" t="str">
        <f t="shared" si="3"/>
        <v>Female</v>
      </c>
      <c r="L224" s="2" t="s">
        <v>562</v>
      </c>
      <c r="M224" s="3" t="str">
        <f t="shared" si="4"/>
        <v>casey6</v>
      </c>
      <c r="N224" s="4">
        <v>80000</v>
      </c>
      <c r="O224" s="6" t="str">
        <f t="shared" si="5"/>
        <v>Average</v>
      </c>
      <c r="P224" s="2">
        <v>2</v>
      </c>
      <c r="Q224" s="2" t="s">
        <v>86</v>
      </c>
      <c r="R224" s="2" t="s">
        <v>82</v>
      </c>
      <c r="S224" s="2" t="s">
        <v>31</v>
      </c>
    </row>
    <row r="225" spans="1:19" ht="14.25" customHeight="1" x14ac:dyDescent="0.2">
      <c r="A225" s="2">
        <v>11073</v>
      </c>
      <c r="B225" s="2" t="s">
        <v>32</v>
      </c>
      <c r="C225" s="2" t="s">
        <v>563</v>
      </c>
      <c r="D225" s="2" t="s">
        <v>59</v>
      </c>
      <c r="E225" s="3" t="str">
        <f t="shared" si="0"/>
        <v>MRS. AMY YE</v>
      </c>
      <c r="F225" s="7">
        <v>20681</v>
      </c>
      <c r="G225" s="3">
        <f t="shared" si="1"/>
        <v>1956</v>
      </c>
      <c r="H225" s="2" t="s">
        <v>22</v>
      </c>
      <c r="I225" s="3" t="str">
        <f t="shared" si="2"/>
        <v>Single</v>
      </c>
      <c r="J225" s="2" t="s">
        <v>35</v>
      </c>
      <c r="K225" s="3" t="str">
        <f t="shared" si="3"/>
        <v>Female</v>
      </c>
      <c r="L225" s="2" t="s">
        <v>564</v>
      </c>
      <c r="M225" s="3" t="str">
        <f t="shared" si="4"/>
        <v>amy16</v>
      </c>
      <c r="N225" s="4">
        <v>70000</v>
      </c>
      <c r="O225" s="6" t="str">
        <f t="shared" si="5"/>
        <v>Average</v>
      </c>
      <c r="P225" s="2">
        <v>2</v>
      </c>
      <c r="Q225" s="2" t="s">
        <v>86</v>
      </c>
      <c r="R225" s="2" t="s">
        <v>82</v>
      </c>
      <c r="S225" s="2" t="s">
        <v>27</v>
      </c>
    </row>
    <row r="226" spans="1:19" ht="14.25" customHeight="1" x14ac:dyDescent="0.2">
      <c r="A226" s="2">
        <v>11074</v>
      </c>
      <c r="B226" s="2" t="s">
        <v>19</v>
      </c>
      <c r="C226" s="2" t="s">
        <v>344</v>
      </c>
      <c r="D226" s="2" t="s">
        <v>565</v>
      </c>
      <c r="E226" s="3" t="str">
        <f t="shared" si="0"/>
        <v>MR. LEVI ARUN</v>
      </c>
      <c r="F226" s="7">
        <v>20695</v>
      </c>
      <c r="G226" s="3">
        <f t="shared" si="1"/>
        <v>1956</v>
      </c>
      <c r="H226" s="2" t="s">
        <v>22</v>
      </c>
      <c r="I226" s="3" t="str">
        <f t="shared" si="2"/>
        <v>Single</v>
      </c>
      <c r="J226" s="2" t="s">
        <v>23</v>
      </c>
      <c r="K226" s="3" t="str">
        <f t="shared" si="3"/>
        <v>Male</v>
      </c>
      <c r="L226" s="2" t="s">
        <v>566</v>
      </c>
      <c r="M226" s="3" t="str">
        <f t="shared" si="4"/>
        <v>levi6</v>
      </c>
      <c r="N226" s="4">
        <v>70000</v>
      </c>
      <c r="O226" s="6" t="str">
        <f t="shared" si="5"/>
        <v>Average</v>
      </c>
      <c r="P226" s="2">
        <v>2</v>
      </c>
      <c r="Q226" s="2" t="s">
        <v>86</v>
      </c>
      <c r="R226" s="2" t="s">
        <v>82</v>
      </c>
      <c r="S226" s="2" t="s">
        <v>27</v>
      </c>
    </row>
    <row r="227" spans="1:19" ht="14.25" customHeight="1" x14ac:dyDescent="0.2">
      <c r="A227" s="2">
        <v>11075</v>
      </c>
      <c r="B227" s="2" t="s">
        <v>32</v>
      </c>
      <c r="C227" s="2" t="s">
        <v>567</v>
      </c>
      <c r="D227" s="2" t="s">
        <v>348</v>
      </c>
      <c r="E227" s="3" t="str">
        <f t="shared" si="0"/>
        <v>MRS. FELICIA JIMENEZ</v>
      </c>
      <c r="F227" s="7">
        <v>21140</v>
      </c>
      <c r="G227" s="3">
        <f t="shared" si="1"/>
        <v>1957</v>
      </c>
      <c r="H227" s="2" t="s">
        <v>22</v>
      </c>
      <c r="I227" s="3" t="str">
        <f t="shared" si="2"/>
        <v>Single</v>
      </c>
      <c r="J227" s="2" t="s">
        <v>35</v>
      </c>
      <c r="K227" s="3" t="str">
        <f t="shared" si="3"/>
        <v>Female</v>
      </c>
      <c r="L227" s="2" t="s">
        <v>568</v>
      </c>
      <c r="M227" s="3" t="str">
        <f t="shared" si="4"/>
        <v>felicia4</v>
      </c>
      <c r="N227" s="4">
        <v>80000</v>
      </c>
      <c r="O227" s="6" t="str">
        <f t="shared" si="5"/>
        <v>Average</v>
      </c>
      <c r="P227" s="2">
        <v>2</v>
      </c>
      <c r="Q227" s="2" t="s">
        <v>86</v>
      </c>
      <c r="R227" s="2" t="s">
        <v>48</v>
      </c>
      <c r="S227" s="2" t="s">
        <v>27</v>
      </c>
    </row>
    <row r="228" spans="1:19" ht="14.25" customHeight="1" x14ac:dyDescent="0.2">
      <c r="A228" s="2">
        <v>11076</v>
      </c>
      <c r="B228" s="2" t="s">
        <v>19</v>
      </c>
      <c r="C228" s="2" t="s">
        <v>272</v>
      </c>
      <c r="D228" s="2" t="s">
        <v>207</v>
      </c>
      <c r="E228" s="3" t="str">
        <f t="shared" si="0"/>
        <v>MR. BLAKE ANDERSON</v>
      </c>
      <c r="F228" s="7">
        <v>21014</v>
      </c>
      <c r="G228" s="3">
        <f t="shared" si="1"/>
        <v>1957</v>
      </c>
      <c r="H228" s="2" t="s">
        <v>22</v>
      </c>
      <c r="I228" s="3" t="str">
        <f t="shared" si="2"/>
        <v>Single</v>
      </c>
      <c r="J228" s="2" t="s">
        <v>23</v>
      </c>
      <c r="K228" s="3" t="str">
        <f t="shared" si="3"/>
        <v>Male</v>
      </c>
      <c r="L228" s="2" t="s">
        <v>569</v>
      </c>
      <c r="M228" s="3" t="str">
        <f t="shared" si="4"/>
        <v>blake9</v>
      </c>
      <c r="N228" s="4">
        <v>80000</v>
      </c>
      <c r="O228" s="6" t="str">
        <f t="shared" si="5"/>
        <v>Average</v>
      </c>
      <c r="P228" s="2">
        <v>2</v>
      </c>
      <c r="Q228" s="2" t="s">
        <v>86</v>
      </c>
      <c r="R228" s="2" t="s">
        <v>48</v>
      </c>
      <c r="S228" s="2" t="s">
        <v>27</v>
      </c>
    </row>
    <row r="229" spans="1:19" ht="14.25" customHeight="1" x14ac:dyDescent="0.2">
      <c r="A229" s="2">
        <v>11077</v>
      </c>
      <c r="B229" s="2" t="s">
        <v>32</v>
      </c>
      <c r="C229" s="2" t="s">
        <v>570</v>
      </c>
      <c r="D229" s="2" t="s">
        <v>59</v>
      </c>
      <c r="E229" s="3" t="str">
        <f t="shared" si="0"/>
        <v>MRS. LEAH YE</v>
      </c>
      <c r="F229" s="7">
        <v>21082</v>
      </c>
      <c r="G229" s="3">
        <f t="shared" si="1"/>
        <v>1957</v>
      </c>
      <c r="H229" s="2" t="s">
        <v>22</v>
      </c>
      <c r="I229" s="3" t="str">
        <f t="shared" si="2"/>
        <v>Single</v>
      </c>
      <c r="J229" s="2" t="s">
        <v>35</v>
      </c>
      <c r="K229" s="3" t="str">
        <f t="shared" si="3"/>
        <v>Female</v>
      </c>
      <c r="L229" s="2" t="s">
        <v>571</v>
      </c>
      <c r="M229" s="3" t="str">
        <f t="shared" si="4"/>
        <v>leah7</v>
      </c>
      <c r="N229" s="4">
        <v>80000</v>
      </c>
      <c r="O229" s="6" t="str">
        <f t="shared" si="5"/>
        <v>Average</v>
      </c>
      <c r="P229" s="2">
        <v>2</v>
      </c>
      <c r="Q229" s="2" t="s">
        <v>86</v>
      </c>
      <c r="R229" s="2" t="s">
        <v>48</v>
      </c>
      <c r="S229" s="2" t="s">
        <v>31</v>
      </c>
    </row>
    <row r="230" spans="1:19" ht="14.25" customHeight="1" x14ac:dyDescent="0.2">
      <c r="A230" s="2">
        <v>11078</v>
      </c>
      <c r="B230" s="2" t="s">
        <v>43</v>
      </c>
      <c r="C230" s="2" t="s">
        <v>572</v>
      </c>
      <c r="D230" s="2" t="s">
        <v>285</v>
      </c>
      <c r="E230" s="3" t="str">
        <f t="shared" si="0"/>
        <v>MS. GINA MARTIN</v>
      </c>
      <c r="F230" s="7">
        <v>27039</v>
      </c>
      <c r="G230" s="3">
        <f t="shared" si="1"/>
        <v>1974</v>
      </c>
      <c r="H230" s="2" t="s">
        <v>22</v>
      </c>
      <c r="I230" s="3" t="str">
        <f t="shared" si="2"/>
        <v>Single</v>
      </c>
      <c r="J230" s="2" t="s">
        <v>35</v>
      </c>
      <c r="K230" s="3" t="str">
        <f t="shared" si="3"/>
        <v>Female</v>
      </c>
      <c r="L230" s="2" t="s">
        <v>573</v>
      </c>
      <c r="M230" s="3" t="str">
        <f t="shared" si="4"/>
        <v>gina1</v>
      </c>
      <c r="N230" s="4">
        <v>40000</v>
      </c>
      <c r="O230" s="6" t="str">
        <f t="shared" si="5"/>
        <v>Poor</v>
      </c>
      <c r="P230" s="2">
        <v>0</v>
      </c>
      <c r="Q230" s="2" t="s">
        <v>86</v>
      </c>
      <c r="R230" s="2" t="s">
        <v>48</v>
      </c>
      <c r="S230" s="2" t="s">
        <v>31</v>
      </c>
    </row>
    <row r="231" spans="1:19" ht="14.25" customHeight="1" x14ac:dyDescent="0.2">
      <c r="A231" s="2">
        <v>11079</v>
      </c>
      <c r="B231" s="2" t="s">
        <v>19</v>
      </c>
      <c r="C231" s="2" t="s">
        <v>574</v>
      </c>
      <c r="D231" s="2" t="s">
        <v>131</v>
      </c>
      <c r="E231" s="3" t="str">
        <f t="shared" si="0"/>
        <v>MR. DONALD GONZALEZ</v>
      </c>
      <c r="F231" s="7">
        <v>21620</v>
      </c>
      <c r="G231" s="3">
        <f t="shared" si="1"/>
        <v>1959</v>
      </c>
      <c r="H231" s="2" t="s">
        <v>22</v>
      </c>
      <c r="I231" s="3" t="str">
        <f t="shared" si="2"/>
        <v>Single</v>
      </c>
      <c r="J231" s="2" t="s">
        <v>23</v>
      </c>
      <c r="K231" s="3" t="str">
        <f t="shared" si="3"/>
        <v>Male</v>
      </c>
      <c r="L231" s="2" t="s">
        <v>575</v>
      </c>
      <c r="M231" s="3" t="str">
        <f t="shared" si="4"/>
        <v>donald20</v>
      </c>
      <c r="N231" s="4">
        <v>160000</v>
      </c>
      <c r="O231" s="6" t="str">
        <f t="shared" si="5"/>
        <v>Wealthy</v>
      </c>
      <c r="P231" s="2">
        <v>0</v>
      </c>
      <c r="Q231" s="2" t="s">
        <v>25</v>
      </c>
      <c r="R231" s="2" t="s">
        <v>26</v>
      </c>
      <c r="S231" s="2" t="s">
        <v>27</v>
      </c>
    </row>
    <row r="232" spans="1:19" ht="14.25" customHeight="1" x14ac:dyDescent="0.2">
      <c r="A232" s="2">
        <v>11080</v>
      </c>
      <c r="B232" s="2" t="s">
        <v>19</v>
      </c>
      <c r="C232" s="2" t="s">
        <v>576</v>
      </c>
      <c r="D232" s="2" t="s">
        <v>577</v>
      </c>
      <c r="E232" s="3" t="str">
        <f t="shared" si="0"/>
        <v>MR. DAMIEN CHANDER</v>
      </c>
      <c r="F232" s="7">
        <v>21748</v>
      </c>
      <c r="G232" s="3">
        <f t="shared" si="1"/>
        <v>1959</v>
      </c>
      <c r="H232" s="2" t="s">
        <v>23</v>
      </c>
      <c r="I232" s="3" t="str">
        <f t="shared" si="2"/>
        <v>Married</v>
      </c>
      <c r="J232" s="2" t="s">
        <v>23</v>
      </c>
      <c r="K232" s="3" t="str">
        <f t="shared" si="3"/>
        <v>Male</v>
      </c>
      <c r="L232" s="2" t="s">
        <v>578</v>
      </c>
      <c r="M232" s="3" t="str">
        <f t="shared" si="4"/>
        <v>damien32</v>
      </c>
      <c r="N232" s="4">
        <v>170000</v>
      </c>
      <c r="O232" s="6" t="str">
        <f t="shared" si="5"/>
        <v>Wealthy</v>
      </c>
      <c r="P232" s="2">
        <v>0</v>
      </c>
      <c r="Q232" s="2" t="s">
        <v>25</v>
      </c>
      <c r="R232" s="2" t="s">
        <v>26</v>
      </c>
      <c r="S232" s="2" t="s">
        <v>27</v>
      </c>
    </row>
    <row r="233" spans="1:19" ht="14.25" customHeight="1" x14ac:dyDescent="0.2">
      <c r="A233" s="2">
        <v>11081</v>
      </c>
      <c r="B233" s="2" t="s">
        <v>32</v>
      </c>
      <c r="C233" s="2" t="s">
        <v>579</v>
      </c>
      <c r="D233" s="2" t="s">
        <v>129</v>
      </c>
      <c r="E233" s="3" t="str">
        <f t="shared" si="0"/>
        <v>MRS. SAVANNAH BAKER</v>
      </c>
      <c r="F233" s="7">
        <v>24312</v>
      </c>
      <c r="G233" s="3">
        <f t="shared" si="1"/>
        <v>1966</v>
      </c>
      <c r="H233" s="2" t="s">
        <v>23</v>
      </c>
      <c r="I233" s="3" t="str">
        <f t="shared" si="2"/>
        <v>Married</v>
      </c>
      <c r="J233" s="2" t="s">
        <v>35</v>
      </c>
      <c r="K233" s="3" t="str">
        <f t="shared" si="3"/>
        <v>Female</v>
      </c>
      <c r="L233" s="2" t="s">
        <v>580</v>
      </c>
      <c r="M233" s="3" t="str">
        <f t="shared" si="4"/>
        <v>savannah39</v>
      </c>
      <c r="N233" s="4">
        <v>120000</v>
      </c>
      <c r="O233" s="6" t="str">
        <f t="shared" si="5"/>
        <v>Rich</v>
      </c>
      <c r="P233" s="2">
        <v>2</v>
      </c>
      <c r="Q233" s="2" t="s">
        <v>47</v>
      </c>
      <c r="R233" s="2" t="s">
        <v>26</v>
      </c>
      <c r="S233" s="2" t="s">
        <v>27</v>
      </c>
    </row>
    <row r="234" spans="1:19" ht="14.25" customHeight="1" x14ac:dyDescent="0.2">
      <c r="A234" s="2">
        <v>11082</v>
      </c>
      <c r="C234" s="2" t="s">
        <v>543</v>
      </c>
      <c r="D234" s="2" t="s">
        <v>265</v>
      </c>
      <c r="E234" s="3" t="str">
        <f t="shared" si="0"/>
        <v xml:space="preserve"> ANGELA BUTLER</v>
      </c>
      <c r="F234" s="7">
        <v>24323</v>
      </c>
      <c r="G234" s="3">
        <f t="shared" si="1"/>
        <v>1966</v>
      </c>
      <c r="H234" s="2" t="s">
        <v>22</v>
      </c>
      <c r="I234" s="3" t="str">
        <f t="shared" si="2"/>
        <v>Single</v>
      </c>
      <c r="J234" s="2" t="s">
        <v>391</v>
      </c>
      <c r="K234" s="3" t="str">
        <f t="shared" si="3"/>
        <v>Female</v>
      </c>
      <c r="L234" s="2" t="s">
        <v>581</v>
      </c>
      <c r="M234" s="3" t="str">
        <f t="shared" si="4"/>
        <v>angela17</v>
      </c>
      <c r="N234" s="4">
        <v>130000</v>
      </c>
      <c r="O234" s="6" t="str">
        <f t="shared" si="5"/>
        <v>Rich</v>
      </c>
      <c r="P234" s="2">
        <v>0</v>
      </c>
      <c r="Q234" s="2" t="s">
        <v>25</v>
      </c>
      <c r="R234" s="2" t="s">
        <v>26</v>
      </c>
      <c r="S234" s="2" t="s">
        <v>31</v>
      </c>
    </row>
    <row r="235" spans="1:19" ht="14.25" customHeight="1" x14ac:dyDescent="0.2">
      <c r="A235" s="2">
        <v>11083</v>
      </c>
      <c r="B235" s="2" t="s">
        <v>43</v>
      </c>
      <c r="C235" s="2" t="s">
        <v>582</v>
      </c>
      <c r="D235" s="2" t="s">
        <v>351</v>
      </c>
      <c r="E235" s="3" t="str">
        <f t="shared" si="0"/>
        <v>MS. ALYSSA COX</v>
      </c>
      <c r="F235" s="7">
        <v>24181</v>
      </c>
      <c r="G235" s="3">
        <f t="shared" si="1"/>
        <v>1966</v>
      </c>
      <c r="H235" s="2" t="s">
        <v>23</v>
      </c>
      <c r="I235" s="3" t="str">
        <f t="shared" si="2"/>
        <v>Married</v>
      </c>
      <c r="J235" s="2" t="s">
        <v>35</v>
      </c>
      <c r="K235" s="3" t="str">
        <f t="shared" si="3"/>
        <v>Female</v>
      </c>
      <c r="L235" s="2" t="s">
        <v>583</v>
      </c>
      <c r="M235" s="3" t="str">
        <f t="shared" si="4"/>
        <v>alyssa37</v>
      </c>
      <c r="N235" s="4">
        <v>130000</v>
      </c>
      <c r="O235" s="6" t="str">
        <f t="shared" si="5"/>
        <v>Rich</v>
      </c>
      <c r="P235" s="2">
        <v>0</v>
      </c>
      <c r="Q235" s="2" t="s">
        <v>25</v>
      </c>
      <c r="R235" s="2" t="s">
        <v>26</v>
      </c>
      <c r="S235" s="2" t="s">
        <v>27</v>
      </c>
    </row>
    <row r="236" spans="1:19" ht="14.25" customHeight="1" x14ac:dyDescent="0.2">
      <c r="A236" s="2">
        <v>11084</v>
      </c>
      <c r="B236" s="2" t="s">
        <v>19</v>
      </c>
      <c r="C236" s="2" t="s">
        <v>584</v>
      </c>
      <c r="D236" s="2" t="s">
        <v>585</v>
      </c>
      <c r="E236" s="3" t="str">
        <f t="shared" si="0"/>
        <v>MR. LUCAS PHILLIPS</v>
      </c>
      <c r="F236" s="7">
        <v>21075</v>
      </c>
      <c r="G236" s="3">
        <f t="shared" si="1"/>
        <v>1957</v>
      </c>
      <c r="H236" s="2" t="s">
        <v>22</v>
      </c>
      <c r="I236" s="3" t="str">
        <f t="shared" si="2"/>
        <v>Single</v>
      </c>
      <c r="J236" s="2" t="s">
        <v>23</v>
      </c>
      <c r="K236" s="3" t="str">
        <f t="shared" si="3"/>
        <v>Male</v>
      </c>
      <c r="L236" s="2" t="s">
        <v>586</v>
      </c>
      <c r="M236" s="3" t="str">
        <f t="shared" si="4"/>
        <v>lucas7</v>
      </c>
      <c r="N236" s="4">
        <v>80000</v>
      </c>
      <c r="O236" s="6" t="str">
        <f t="shared" si="5"/>
        <v>Average</v>
      </c>
      <c r="P236" s="2">
        <v>2</v>
      </c>
      <c r="Q236" s="2" t="s">
        <v>93</v>
      </c>
      <c r="R236" s="2" t="s">
        <v>82</v>
      </c>
      <c r="S236" s="2" t="s">
        <v>31</v>
      </c>
    </row>
    <row r="237" spans="1:19" ht="14.25" customHeight="1" x14ac:dyDescent="0.2">
      <c r="A237" s="2">
        <v>11085</v>
      </c>
      <c r="B237" s="2" t="s">
        <v>32</v>
      </c>
      <c r="C237" s="2" t="s">
        <v>587</v>
      </c>
      <c r="D237" s="2" t="s">
        <v>213</v>
      </c>
      <c r="E237" s="3" t="str">
        <f t="shared" si="0"/>
        <v>MRS. EMILY JOHNSON</v>
      </c>
      <c r="F237" s="7">
        <v>21020</v>
      </c>
      <c r="G237" s="3">
        <f t="shared" si="1"/>
        <v>1957</v>
      </c>
      <c r="H237" s="2" t="s">
        <v>22</v>
      </c>
      <c r="I237" s="3" t="str">
        <f t="shared" si="2"/>
        <v>Single</v>
      </c>
      <c r="J237" s="2" t="s">
        <v>35</v>
      </c>
      <c r="K237" s="3" t="str">
        <f t="shared" si="3"/>
        <v>Female</v>
      </c>
      <c r="L237" s="2" t="s">
        <v>588</v>
      </c>
      <c r="M237" s="3" t="str">
        <f t="shared" si="4"/>
        <v>emily1</v>
      </c>
      <c r="N237" s="4">
        <v>60000</v>
      </c>
      <c r="O237" s="6" t="str">
        <f t="shared" si="5"/>
        <v>Average</v>
      </c>
      <c r="P237" s="2">
        <v>2</v>
      </c>
      <c r="Q237" s="2" t="s">
        <v>86</v>
      </c>
      <c r="R237" s="2" t="s">
        <v>48</v>
      </c>
      <c r="S237" s="2" t="s">
        <v>31</v>
      </c>
    </row>
    <row r="238" spans="1:19" ht="14.25" customHeight="1" x14ac:dyDescent="0.2">
      <c r="A238" s="2">
        <v>11086</v>
      </c>
      <c r="B238" s="2" t="s">
        <v>19</v>
      </c>
      <c r="C238" s="2" t="s">
        <v>589</v>
      </c>
      <c r="D238" s="2" t="s">
        <v>153</v>
      </c>
      <c r="E238" s="3" t="str">
        <f t="shared" si="0"/>
        <v>MR. RYAN BROWN</v>
      </c>
      <c r="F238" s="7">
        <v>21177</v>
      </c>
      <c r="G238" s="3">
        <f t="shared" si="1"/>
        <v>1957</v>
      </c>
      <c r="H238" s="2" t="s">
        <v>23</v>
      </c>
      <c r="I238" s="3" t="str">
        <f t="shared" si="2"/>
        <v>Married</v>
      </c>
      <c r="J238" s="2" t="s">
        <v>23</v>
      </c>
      <c r="K238" s="3" t="str">
        <f t="shared" si="3"/>
        <v>Male</v>
      </c>
      <c r="L238" s="2" t="s">
        <v>590</v>
      </c>
      <c r="M238" s="3" t="str">
        <f t="shared" si="4"/>
        <v>ryan43</v>
      </c>
      <c r="N238" s="4">
        <v>70000</v>
      </c>
      <c r="O238" s="6" t="str">
        <f t="shared" si="5"/>
        <v>Average</v>
      </c>
      <c r="P238" s="2">
        <v>2</v>
      </c>
      <c r="Q238" s="2" t="s">
        <v>81</v>
      </c>
      <c r="R238" s="2" t="s">
        <v>48</v>
      </c>
      <c r="S238" s="2" t="s">
        <v>27</v>
      </c>
    </row>
    <row r="239" spans="1:19" ht="14.25" customHeight="1" x14ac:dyDescent="0.2">
      <c r="A239" s="2">
        <v>11087</v>
      </c>
      <c r="B239" s="2" t="s">
        <v>32</v>
      </c>
      <c r="C239" s="2" t="s">
        <v>591</v>
      </c>
      <c r="D239" s="2" t="s">
        <v>554</v>
      </c>
      <c r="E239" s="3" t="str">
        <f t="shared" si="0"/>
        <v>MRS. TAMARA LIANG</v>
      </c>
      <c r="F239" s="7">
        <v>21096</v>
      </c>
      <c r="G239" s="3">
        <f t="shared" si="1"/>
        <v>1957</v>
      </c>
      <c r="H239" s="2" t="s">
        <v>23</v>
      </c>
      <c r="I239" s="3" t="str">
        <f t="shared" si="2"/>
        <v>Married</v>
      </c>
      <c r="J239" s="2" t="s">
        <v>35</v>
      </c>
      <c r="K239" s="3" t="str">
        <f t="shared" si="3"/>
        <v>Female</v>
      </c>
      <c r="L239" s="2" t="s">
        <v>592</v>
      </c>
      <c r="M239" s="3" t="str">
        <f t="shared" si="4"/>
        <v>tamara6</v>
      </c>
      <c r="N239" s="4">
        <v>70000</v>
      </c>
      <c r="O239" s="6" t="str">
        <f t="shared" si="5"/>
        <v>Average</v>
      </c>
      <c r="P239" s="2">
        <v>3</v>
      </c>
      <c r="Q239" s="2" t="s">
        <v>81</v>
      </c>
      <c r="R239" s="2" t="s">
        <v>48</v>
      </c>
      <c r="S239" s="2" t="s">
        <v>31</v>
      </c>
    </row>
    <row r="240" spans="1:19" ht="14.25" customHeight="1" x14ac:dyDescent="0.2">
      <c r="A240" s="2">
        <v>11089</v>
      </c>
      <c r="B240" s="2" t="s">
        <v>32</v>
      </c>
      <c r="C240" s="2" t="s">
        <v>593</v>
      </c>
      <c r="D240" s="2" t="s">
        <v>525</v>
      </c>
      <c r="E240" s="3" t="str">
        <f t="shared" si="0"/>
        <v>MRS. ABIGAIL PRICE</v>
      </c>
      <c r="F240" s="7">
        <v>20856</v>
      </c>
      <c r="G240" s="3">
        <f t="shared" si="1"/>
        <v>1957</v>
      </c>
      <c r="H240" s="2" t="s">
        <v>22</v>
      </c>
      <c r="I240" s="3" t="str">
        <f t="shared" si="2"/>
        <v>Single</v>
      </c>
      <c r="J240" s="2" t="s">
        <v>35</v>
      </c>
      <c r="K240" s="3" t="str">
        <f t="shared" si="3"/>
        <v>Female</v>
      </c>
      <c r="L240" s="2" t="s">
        <v>594</v>
      </c>
      <c r="M240" s="3" t="str">
        <f t="shared" si="4"/>
        <v>abigail25</v>
      </c>
      <c r="N240" s="4">
        <v>80000</v>
      </c>
      <c r="O240" s="6" t="str">
        <f t="shared" si="5"/>
        <v>Average</v>
      </c>
      <c r="P240" s="2">
        <v>2</v>
      </c>
      <c r="Q240" s="2" t="s">
        <v>47</v>
      </c>
      <c r="R240" s="2" t="s">
        <v>26</v>
      </c>
      <c r="S240" s="2" t="s">
        <v>27</v>
      </c>
    </row>
    <row r="241" spans="1:19" ht="14.25" customHeight="1" x14ac:dyDescent="0.2">
      <c r="A241" s="2">
        <v>11090</v>
      </c>
      <c r="B241" s="2" t="s">
        <v>19</v>
      </c>
      <c r="C241" s="2" t="s">
        <v>595</v>
      </c>
      <c r="D241" s="2" t="s">
        <v>76</v>
      </c>
      <c r="E241" s="3" t="str">
        <f t="shared" si="0"/>
        <v>MR. TREVOR BRYANT</v>
      </c>
      <c r="F241" s="7">
        <v>21171</v>
      </c>
      <c r="G241" s="3">
        <f t="shared" si="1"/>
        <v>1957</v>
      </c>
      <c r="H241" s="2" t="s">
        <v>22</v>
      </c>
      <c r="I241" s="3" t="str">
        <f t="shared" si="2"/>
        <v>Single</v>
      </c>
      <c r="J241" s="2" t="s">
        <v>23</v>
      </c>
      <c r="K241" s="3" t="str">
        <f t="shared" si="3"/>
        <v>Male</v>
      </c>
      <c r="L241" s="2" t="s">
        <v>596</v>
      </c>
      <c r="M241" s="3" t="str">
        <f t="shared" si="4"/>
        <v>trevor18</v>
      </c>
      <c r="N241" s="4">
        <v>90000</v>
      </c>
      <c r="O241" s="6" t="str">
        <f t="shared" si="5"/>
        <v>Average</v>
      </c>
      <c r="P241" s="2">
        <v>2</v>
      </c>
      <c r="Q241" s="2" t="s">
        <v>81</v>
      </c>
      <c r="R241" s="2" t="s">
        <v>48</v>
      </c>
      <c r="S241" s="2" t="s">
        <v>27</v>
      </c>
    </row>
    <row r="242" spans="1:19" ht="14.25" customHeight="1" x14ac:dyDescent="0.2">
      <c r="A242" s="2">
        <v>11091</v>
      </c>
      <c r="B242" s="2" t="s">
        <v>19</v>
      </c>
      <c r="C242" s="2" t="s">
        <v>116</v>
      </c>
      <c r="D242" s="2" t="s">
        <v>303</v>
      </c>
      <c r="E242" s="3" t="str">
        <f t="shared" si="0"/>
        <v>MR. DALTON PEREZ</v>
      </c>
      <c r="F242" s="7">
        <v>20914</v>
      </c>
      <c r="G242" s="3">
        <f t="shared" si="1"/>
        <v>1957</v>
      </c>
      <c r="H242" s="2" t="s">
        <v>23</v>
      </c>
      <c r="I242" s="3" t="str">
        <f t="shared" si="2"/>
        <v>Married</v>
      </c>
      <c r="J242" s="2" t="s">
        <v>23</v>
      </c>
      <c r="K242" s="3" t="str">
        <f t="shared" si="3"/>
        <v>Male</v>
      </c>
      <c r="L242" s="2" t="s">
        <v>597</v>
      </c>
      <c r="M242" s="3" t="str">
        <f t="shared" si="4"/>
        <v>dalton37</v>
      </c>
      <c r="N242" s="4">
        <v>90000</v>
      </c>
      <c r="O242" s="6" t="str">
        <f t="shared" si="5"/>
        <v>Average</v>
      </c>
      <c r="P242" s="2">
        <v>2</v>
      </c>
      <c r="Q242" s="2" t="s">
        <v>81</v>
      </c>
      <c r="R242" s="2" t="s">
        <v>48</v>
      </c>
      <c r="S242" s="2" t="s">
        <v>27</v>
      </c>
    </row>
    <row r="243" spans="1:19" ht="14.25" customHeight="1" x14ac:dyDescent="0.2">
      <c r="A243" s="2">
        <v>11092</v>
      </c>
      <c r="B243" s="2" t="s">
        <v>32</v>
      </c>
      <c r="C243" s="2" t="s">
        <v>322</v>
      </c>
      <c r="D243" s="2" t="s">
        <v>96</v>
      </c>
      <c r="E243" s="3" t="str">
        <f t="shared" si="0"/>
        <v>MRS. CHERYL DIAZ</v>
      </c>
      <c r="F243" s="7">
        <v>24598</v>
      </c>
      <c r="G243" s="3">
        <f t="shared" si="1"/>
        <v>1967</v>
      </c>
      <c r="H243" s="2" t="s">
        <v>23</v>
      </c>
      <c r="I243" s="3" t="str">
        <f t="shared" si="2"/>
        <v>Married</v>
      </c>
      <c r="J243" s="2" t="s">
        <v>35</v>
      </c>
      <c r="K243" s="3" t="str">
        <f t="shared" si="3"/>
        <v>Female</v>
      </c>
      <c r="L243" s="2" t="s">
        <v>598</v>
      </c>
      <c r="M243" s="3" t="str">
        <f t="shared" si="4"/>
        <v>cheryl4</v>
      </c>
      <c r="N243" s="4">
        <v>90000</v>
      </c>
      <c r="O243" s="6" t="str">
        <f t="shared" si="5"/>
        <v>Average</v>
      </c>
      <c r="P243" s="2">
        <v>2</v>
      </c>
      <c r="Q243" s="2" t="s">
        <v>47</v>
      </c>
      <c r="R243" s="2" t="s">
        <v>48</v>
      </c>
      <c r="S243" s="2" t="s">
        <v>27</v>
      </c>
    </row>
    <row r="244" spans="1:19" ht="14.25" customHeight="1" x14ac:dyDescent="0.2">
      <c r="A244" s="2">
        <v>11093</v>
      </c>
      <c r="B244" s="2" t="s">
        <v>43</v>
      </c>
      <c r="C244" s="2" t="s">
        <v>599</v>
      </c>
      <c r="D244" s="2" t="s">
        <v>600</v>
      </c>
      <c r="E244" s="3" t="str">
        <f t="shared" si="0"/>
        <v>MS. AIMEE HE</v>
      </c>
      <c r="F244" s="7">
        <v>24725</v>
      </c>
      <c r="G244" s="3">
        <f t="shared" si="1"/>
        <v>1967</v>
      </c>
      <c r="H244" s="2" t="s">
        <v>23</v>
      </c>
      <c r="I244" s="3" t="str">
        <f t="shared" si="2"/>
        <v>Married</v>
      </c>
      <c r="J244" s="2" t="s">
        <v>35</v>
      </c>
      <c r="K244" s="3" t="str">
        <f t="shared" si="3"/>
        <v>Female</v>
      </c>
      <c r="L244" s="2" t="s">
        <v>601</v>
      </c>
      <c r="M244" s="3" t="str">
        <f t="shared" si="4"/>
        <v>aimee13</v>
      </c>
      <c r="N244" s="4">
        <v>100000</v>
      </c>
      <c r="O244" s="6" t="str">
        <f t="shared" si="5"/>
        <v>Rich</v>
      </c>
      <c r="P244" s="2">
        <v>0</v>
      </c>
      <c r="Q244" s="2" t="s">
        <v>25</v>
      </c>
      <c r="R244" s="2" t="s">
        <v>26</v>
      </c>
      <c r="S244" s="2" t="s">
        <v>27</v>
      </c>
    </row>
    <row r="245" spans="1:19" ht="14.25" customHeight="1" x14ac:dyDescent="0.2">
      <c r="A245" s="2">
        <v>11094</v>
      </c>
      <c r="B245" s="2" t="s">
        <v>19</v>
      </c>
      <c r="C245" s="2" t="s">
        <v>409</v>
      </c>
      <c r="D245" s="2" t="s">
        <v>99</v>
      </c>
      <c r="E245" s="3" t="str">
        <f t="shared" si="0"/>
        <v>MR. CEDRIC MA</v>
      </c>
      <c r="F245" s="7">
        <v>22737</v>
      </c>
      <c r="G245" s="3">
        <f t="shared" si="1"/>
        <v>1962</v>
      </c>
      <c r="H245" s="2" t="s">
        <v>22</v>
      </c>
      <c r="I245" s="3" t="str">
        <f t="shared" si="2"/>
        <v>Single</v>
      </c>
      <c r="J245" s="2" t="s">
        <v>23</v>
      </c>
      <c r="K245" s="3" t="str">
        <f t="shared" si="3"/>
        <v>Male</v>
      </c>
      <c r="L245" s="2" t="s">
        <v>602</v>
      </c>
      <c r="M245" s="3" t="str">
        <f t="shared" si="4"/>
        <v>cedric15</v>
      </c>
      <c r="N245" s="4">
        <v>70000</v>
      </c>
      <c r="O245" s="6" t="str">
        <f t="shared" si="5"/>
        <v>Average</v>
      </c>
      <c r="P245" s="2">
        <v>1</v>
      </c>
      <c r="Q245" s="2" t="s">
        <v>81</v>
      </c>
      <c r="R245" s="2" t="s">
        <v>82</v>
      </c>
      <c r="S245" s="2" t="s">
        <v>31</v>
      </c>
    </row>
    <row r="246" spans="1:19" ht="14.25" customHeight="1" x14ac:dyDescent="0.2">
      <c r="A246" s="2">
        <v>11095</v>
      </c>
      <c r="B246" s="2" t="s">
        <v>19</v>
      </c>
      <c r="C246" s="2" t="s">
        <v>603</v>
      </c>
      <c r="D246" s="2" t="s">
        <v>604</v>
      </c>
      <c r="E246" s="3" t="str">
        <f t="shared" si="0"/>
        <v>MR. CHAD KUMAR</v>
      </c>
      <c r="F246" s="7">
        <v>22890</v>
      </c>
      <c r="G246" s="3">
        <f t="shared" si="1"/>
        <v>1962</v>
      </c>
      <c r="H246" s="2" t="s">
        <v>22</v>
      </c>
      <c r="I246" s="3" t="str">
        <f t="shared" si="2"/>
        <v>Single</v>
      </c>
      <c r="J246" s="2" t="s">
        <v>23</v>
      </c>
      <c r="K246" s="3" t="str">
        <f t="shared" si="3"/>
        <v>Male</v>
      </c>
      <c r="L246" s="2" t="s">
        <v>605</v>
      </c>
      <c r="M246" s="3" t="str">
        <f t="shared" si="4"/>
        <v>chad9</v>
      </c>
      <c r="N246" s="4">
        <v>70000</v>
      </c>
      <c r="O246" s="6" t="str">
        <f t="shared" si="5"/>
        <v>Average</v>
      </c>
      <c r="P246" s="2">
        <v>1</v>
      </c>
      <c r="Q246" s="2" t="s">
        <v>81</v>
      </c>
      <c r="R246" s="2" t="s">
        <v>82</v>
      </c>
      <c r="S246" s="2" t="s">
        <v>27</v>
      </c>
    </row>
    <row r="247" spans="1:19" ht="14.25" customHeight="1" x14ac:dyDescent="0.2">
      <c r="A247" s="2">
        <v>11096</v>
      </c>
      <c r="B247" s="2" t="s">
        <v>19</v>
      </c>
      <c r="C247" s="2" t="s">
        <v>606</v>
      </c>
      <c r="D247" s="2" t="s">
        <v>607</v>
      </c>
      <c r="E247" s="3" t="str">
        <f t="shared" si="0"/>
        <v>MR. ANDRÉS ANAND</v>
      </c>
      <c r="F247" s="7">
        <v>22868</v>
      </c>
      <c r="G247" s="3">
        <f t="shared" si="1"/>
        <v>1962</v>
      </c>
      <c r="H247" s="2" t="s">
        <v>23</v>
      </c>
      <c r="I247" s="3" t="str">
        <f t="shared" si="2"/>
        <v>Married</v>
      </c>
      <c r="J247" s="2" t="s">
        <v>23</v>
      </c>
      <c r="K247" s="3" t="str">
        <f t="shared" si="3"/>
        <v>Male</v>
      </c>
      <c r="L247" s="2" t="s">
        <v>608</v>
      </c>
      <c r="M247" s="3" t="str">
        <f t="shared" si="4"/>
        <v>andrés18</v>
      </c>
      <c r="N247" s="4">
        <v>60000</v>
      </c>
      <c r="O247" s="6" t="str">
        <f t="shared" si="5"/>
        <v>Average</v>
      </c>
      <c r="P247" s="2">
        <v>1</v>
      </c>
      <c r="Q247" s="2" t="s">
        <v>47</v>
      </c>
      <c r="R247" s="2" t="s">
        <v>48</v>
      </c>
      <c r="S247" s="2" t="s">
        <v>27</v>
      </c>
    </row>
    <row r="248" spans="1:19" ht="14.25" customHeight="1" x14ac:dyDescent="0.2">
      <c r="A248" s="2">
        <v>11097</v>
      </c>
      <c r="B248" s="2" t="s">
        <v>19</v>
      </c>
      <c r="C248" s="2" t="s">
        <v>252</v>
      </c>
      <c r="D248" s="2" t="s">
        <v>511</v>
      </c>
      <c r="E248" s="3" t="str">
        <f t="shared" si="0"/>
        <v>MR. EDWIN NARA</v>
      </c>
      <c r="F248" s="7">
        <v>22581</v>
      </c>
      <c r="G248" s="3">
        <f t="shared" si="1"/>
        <v>1961</v>
      </c>
      <c r="H248" s="2" t="s">
        <v>23</v>
      </c>
      <c r="I248" s="3" t="str">
        <f t="shared" si="2"/>
        <v>Married</v>
      </c>
      <c r="J248" s="2" t="s">
        <v>23</v>
      </c>
      <c r="K248" s="3" t="str">
        <f t="shared" si="3"/>
        <v>Male</v>
      </c>
      <c r="L248" s="2" t="s">
        <v>609</v>
      </c>
      <c r="M248" s="3" t="str">
        <f t="shared" si="4"/>
        <v>edwin39</v>
      </c>
      <c r="N248" s="4">
        <v>60000</v>
      </c>
      <c r="O248" s="6" t="str">
        <f t="shared" si="5"/>
        <v>Average</v>
      </c>
      <c r="P248" s="2">
        <v>1</v>
      </c>
      <c r="Q248" s="2" t="s">
        <v>81</v>
      </c>
      <c r="R248" s="2" t="s">
        <v>82</v>
      </c>
      <c r="S248" s="2" t="s">
        <v>27</v>
      </c>
    </row>
    <row r="249" spans="1:19" ht="14.25" customHeight="1" x14ac:dyDescent="0.2">
      <c r="A249" s="2">
        <v>11098</v>
      </c>
      <c r="B249" s="2" t="s">
        <v>32</v>
      </c>
      <c r="C249" s="2" t="s">
        <v>610</v>
      </c>
      <c r="D249" s="2" t="s">
        <v>611</v>
      </c>
      <c r="E249" s="3" t="str">
        <f t="shared" si="0"/>
        <v>MRS. MALLORY RUBIO</v>
      </c>
      <c r="F249" s="7">
        <v>22402</v>
      </c>
      <c r="G249" s="3">
        <f t="shared" si="1"/>
        <v>1961</v>
      </c>
      <c r="H249" s="2" t="s">
        <v>22</v>
      </c>
      <c r="I249" s="3" t="str">
        <f t="shared" si="2"/>
        <v>Single</v>
      </c>
      <c r="J249" s="2" t="s">
        <v>35</v>
      </c>
      <c r="K249" s="3" t="str">
        <f t="shared" si="3"/>
        <v>Female</v>
      </c>
      <c r="L249" s="2" t="s">
        <v>612</v>
      </c>
      <c r="M249" s="3" t="str">
        <f t="shared" si="4"/>
        <v>mallory7</v>
      </c>
      <c r="N249" s="4">
        <v>60000</v>
      </c>
      <c r="O249" s="6" t="str">
        <f t="shared" si="5"/>
        <v>Average</v>
      </c>
      <c r="P249" s="2">
        <v>1</v>
      </c>
      <c r="Q249" s="2" t="s">
        <v>81</v>
      </c>
      <c r="R249" s="2" t="s">
        <v>82</v>
      </c>
      <c r="S249" s="2" t="s">
        <v>31</v>
      </c>
    </row>
    <row r="250" spans="1:19" ht="14.25" customHeight="1" x14ac:dyDescent="0.2">
      <c r="A250" s="2">
        <v>11099</v>
      </c>
      <c r="B250" s="2" t="s">
        <v>19</v>
      </c>
      <c r="C250" s="2" t="s">
        <v>225</v>
      </c>
      <c r="D250" s="2" t="s">
        <v>613</v>
      </c>
      <c r="E250" s="3" t="str">
        <f t="shared" si="0"/>
        <v>MR. ADAM ROSS</v>
      </c>
      <c r="F250" s="7">
        <v>22348</v>
      </c>
      <c r="G250" s="3">
        <f t="shared" si="1"/>
        <v>1961</v>
      </c>
      <c r="H250" s="2" t="s">
        <v>23</v>
      </c>
      <c r="I250" s="3" t="str">
        <f t="shared" si="2"/>
        <v>Married</v>
      </c>
      <c r="J250" s="2" t="s">
        <v>23</v>
      </c>
      <c r="K250" s="3" t="str">
        <f t="shared" si="3"/>
        <v>Male</v>
      </c>
      <c r="L250" s="2" t="s">
        <v>614</v>
      </c>
      <c r="M250" s="3" t="str">
        <f t="shared" si="4"/>
        <v>adam2</v>
      </c>
      <c r="N250" s="4">
        <v>60000</v>
      </c>
      <c r="O250" s="6" t="str">
        <f t="shared" si="5"/>
        <v>Average</v>
      </c>
      <c r="P250" s="2">
        <v>1</v>
      </c>
      <c r="Q250" s="2" t="s">
        <v>47</v>
      </c>
      <c r="R250" s="2" t="s">
        <v>48</v>
      </c>
      <c r="S250" s="2" t="s">
        <v>27</v>
      </c>
    </row>
    <row r="251" spans="1:19" ht="14.25" customHeight="1" x14ac:dyDescent="0.2">
      <c r="A251" s="2">
        <v>11100</v>
      </c>
      <c r="B251" s="2" t="s">
        <v>32</v>
      </c>
      <c r="C251" s="2" t="s">
        <v>347</v>
      </c>
      <c r="D251" s="2" t="s">
        <v>323</v>
      </c>
      <c r="E251" s="3" t="str">
        <f t="shared" si="0"/>
        <v>MRS. LATASHA NAVARRO</v>
      </c>
      <c r="F251" s="7">
        <v>22174</v>
      </c>
      <c r="G251" s="3">
        <f t="shared" si="1"/>
        <v>1960</v>
      </c>
      <c r="H251" s="2" t="s">
        <v>22</v>
      </c>
      <c r="I251" s="3" t="str">
        <f t="shared" si="2"/>
        <v>Single</v>
      </c>
      <c r="J251" s="2" t="s">
        <v>35</v>
      </c>
      <c r="K251" s="3" t="str">
        <f t="shared" si="3"/>
        <v>Female</v>
      </c>
      <c r="L251" s="2" t="s">
        <v>615</v>
      </c>
      <c r="M251" s="3" t="str">
        <f t="shared" si="4"/>
        <v>latasha10</v>
      </c>
      <c r="N251" s="4">
        <v>60000</v>
      </c>
      <c r="O251" s="6" t="str">
        <f t="shared" si="5"/>
        <v>Average</v>
      </c>
      <c r="P251" s="2">
        <v>1</v>
      </c>
      <c r="Q251" s="2" t="s">
        <v>81</v>
      </c>
      <c r="R251" s="2" t="s">
        <v>82</v>
      </c>
      <c r="S251" s="2" t="s">
        <v>27</v>
      </c>
    </row>
    <row r="252" spans="1:19" ht="14.25" customHeight="1" x14ac:dyDescent="0.2">
      <c r="A252" s="2">
        <v>11101</v>
      </c>
      <c r="B252" s="2" t="s">
        <v>43</v>
      </c>
      <c r="C252" s="2" t="s">
        <v>616</v>
      </c>
      <c r="D252" s="2" t="s">
        <v>474</v>
      </c>
      <c r="E252" s="3" t="str">
        <f t="shared" si="0"/>
        <v>MS. ABBY SAI</v>
      </c>
      <c r="F252" s="7">
        <v>23870</v>
      </c>
      <c r="G252" s="3">
        <f t="shared" si="1"/>
        <v>1965</v>
      </c>
      <c r="H252" s="2" t="s">
        <v>22</v>
      </c>
      <c r="I252" s="3" t="str">
        <f t="shared" si="2"/>
        <v>Single</v>
      </c>
      <c r="J252" s="2" t="s">
        <v>35</v>
      </c>
      <c r="K252" s="3" t="str">
        <f t="shared" si="3"/>
        <v>Female</v>
      </c>
      <c r="L252" s="2" t="s">
        <v>617</v>
      </c>
      <c r="M252" s="3" t="str">
        <f t="shared" si="4"/>
        <v>abby4</v>
      </c>
      <c r="N252" s="4">
        <v>70000</v>
      </c>
      <c r="O252" s="6" t="str">
        <f t="shared" si="5"/>
        <v>Average</v>
      </c>
      <c r="P252" s="2">
        <v>0</v>
      </c>
      <c r="Q252" s="2" t="s">
        <v>47</v>
      </c>
      <c r="R252" s="2" t="s">
        <v>48</v>
      </c>
      <c r="S252" s="2" t="s">
        <v>31</v>
      </c>
    </row>
    <row r="253" spans="1:19" ht="14.25" customHeight="1" x14ac:dyDescent="0.2">
      <c r="A253" s="2">
        <v>11102</v>
      </c>
      <c r="B253" s="2" t="s">
        <v>32</v>
      </c>
      <c r="C253" s="2" t="s">
        <v>618</v>
      </c>
      <c r="D253" s="2" t="s">
        <v>273</v>
      </c>
      <c r="E253" s="3" t="str">
        <f t="shared" si="0"/>
        <v>MRS. JULIA NELSON</v>
      </c>
      <c r="F253" s="7">
        <v>23853</v>
      </c>
      <c r="G253" s="3">
        <f t="shared" si="1"/>
        <v>1965</v>
      </c>
      <c r="H253" s="2" t="s">
        <v>22</v>
      </c>
      <c r="I253" s="3" t="str">
        <f t="shared" si="2"/>
        <v>Single</v>
      </c>
      <c r="J253" s="2" t="s">
        <v>35</v>
      </c>
      <c r="K253" s="3" t="str">
        <f t="shared" si="3"/>
        <v>Female</v>
      </c>
      <c r="L253" s="2" t="s">
        <v>619</v>
      </c>
      <c r="M253" s="3" t="str">
        <f t="shared" si="4"/>
        <v>julia7</v>
      </c>
      <c r="N253" s="4">
        <v>80000</v>
      </c>
      <c r="O253" s="6" t="str">
        <f t="shared" si="5"/>
        <v>Average</v>
      </c>
      <c r="P253" s="2">
        <v>5</v>
      </c>
      <c r="Q253" s="2" t="s">
        <v>47</v>
      </c>
      <c r="R253" s="2" t="s">
        <v>48</v>
      </c>
      <c r="S253" s="2" t="s">
        <v>27</v>
      </c>
    </row>
    <row r="254" spans="1:19" ht="14.25" customHeight="1" x14ac:dyDescent="0.2">
      <c r="A254" s="2">
        <v>11103</v>
      </c>
      <c r="B254" s="2" t="s">
        <v>43</v>
      </c>
      <c r="C254" s="2" t="s">
        <v>620</v>
      </c>
      <c r="D254" s="2" t="s">
        <v>250</v>
      </c>
      <c r="E254" s="3" t="str">
        <f t="shared" si="0"/>
        <v>MS. CASSIE CHANDE</v>
      </c>
      <c r="F254" s="7">
        <v>23667</v>
      </c>
      <c r="G254" s="3">
        <f t="shared" si="1"/>
        <v>1964</v>
      </c>
      <c r="H254" s="2" t="s">
        <v>22</v>
      </c>
      <c r="I254" s="3" t="str">
        <f t="shared" si="2"/>
        <v>Single</v>
      </c>
      <c r="J254" s="2" t="s">
        <v>35</v>
      </c>
      <c r="K254" s="3" t="str">
        <f t="shared" si="3"/>
        <v>Female</v>
      </c>
      <c r="L254" s="2" t="s">
        <v>621</v>
      </c>
      <c r="M254" s="3" t="str">
        <f t="shared" si="4"/>
        <v>cassie13</v>
      </c>
      <c r="N254" s="4">
        <v>70000</v>
      </c>
      <c r="O254" s="6" t="str">
        <f t="shared" si="5"/>
        <v>Average</v>
      </c>
      <c r="P254" s="2">
        <v>0</v>
      </c>
      <c r="Q254" s="2" t="s">
        <v>47</v>
      </c>
      <c r="R254" s="2" t="s">
        <v>48</v>
      </c>
      <c r="S254" s="2" t="s">
        <v>27</v>
      </c>
    </row>
    <row r="255" spans="1:19" ht="14.25" customHeight="1" x14ac:dyDescent="0.2">
      <c r="A255" s="2">
        <v>11104</v>
      </c>
      <c r="B255" s="2" t="s">
        <v>19</v>
      </c>
      <c r="C255" s="2" t="s">
        <v>622</v>
      </c>
      <c r="D255" s="2" t="s">
        <v>379</v>
      </c>
      <c r="E255" s="3" t="str">
        <f t="shared" si="0"/>
        <v>MR. EDGAR SARA</v>
      </c>
      <c r="F255" s="7">
        <v>23447</v>
      </c>
      <c r="G255" s="3">
        <f t="shared" si="1"/>
        <v>1964</v>
      </c>
      <c r="H255" s="2" t="s">
        <v>23</v>
      </c>
      <c r="I255" s="3" t="str">
        <f t="shared" si="2"/>
        <v>Married</v>
      </c>
      <c r="J255" s="2" t="s">
        <v>23</v>
      </c>
      <c r="K255" s="3" t="str">
        <f t="shared" si="3"/>
        <v>Male</v>
      </c>
      <c r="L255" s="2" t="s">
        <v>623</v>
      </c>
      <c r="M255" s="3" t="str">
        <f t="shared" si="4"/>
        <v>edgar11</v>
      </c>
      <c r="N255" s="4">
        <v>70000</v>
      </c>
      <c r="O255" s="6" t="str">
        <f t="shared" si="5"/>
        <v>Average</v>
      </c>
      <c r="P255" s="2">
        <v>0</v>
      </c>
      <c r="Q255" s="2" t="s">
        <v>47</v>
      </c>
      <c r="R255" s="2" t="s">
        <v>48</v>
      </c>
      <c r="S255" s="2" t="s">
        <v>31</v>
      </c>
    </row>
    <row r="256" spans="1:19" ht="14.25" customHeight="1" x14ac:dyDescent="0.2">
      <c r="A256" s="2">
        <v>11105</v>
      </c>
      <c r="B256" s="2" t="s">
        <v>43</v>
      </c>
      <c r="C256" s="2" t="s">
        <v>624</v>
      </c>
      <c r="D256" s="2" t="s">
        <v>363</v>
      </c>
      <c r="E256" s="3" t="str">
        <f t="shared" si="0"/>
        <v>MS. CANDACE FERNANDEZ</v>
      </c>
      <c r="F256" s="7">
        <v>23739</v>
      </c>
      <c r="G256" s="3">
        <f t="shared" si="1"/>
        <v>1964</v>
      </c>
      <c r="H256" s="2" t="s">
        <v>22</v>
      </c>
      <c r="I256" s="3" t="str">
        <f t="shared" si="2"/>
        <v>Single</v>
      </c>
      <c r="J256" s="2" t="s">
        <v>35</v>
      </c>
      <c r="K256" s="3" t="str">
        <f t="shared" si="3"/>
        <v>Female</v>
      </c>
      <c r="L256" s="2" t="s">
        <v>625</v>
      </c>
      <c r="M256" s="3" t="str">
        <f t="shared" si="4"/>
        <v>candace15</v>
      </c>
      <c r="N256" s="4">
        <v>70000</v>
      </c>
      <c r="O256" s="6" t="str">
        <f t="shared" si="5"/>
        <v>Average</v>
      </c>
      <c r="P256" s="2">
        <v>0</v>
      </c>
      <c r="Q256" s="2" t="s">
        <v>47</v>
      </c>
      <c r="R256" s="2" t="s">
        <v>48</v>
      </c>
      <c r="S256" s="2" t="s">
        <v>31</v>
      </c>
    </row>
    <row r="257" spans="1:19" ht="14.25" customHeight="1" x14ac:dyDescent="0.2">
      <c r="A257" s="2">
        <v>11106</v>
      </c>
      <c r="B257" s="2" t="s">
        <v>19</v>
      </c>
      <c r="C257" s="2" t="s">
        <v>476</v>
      </c>
      <c r="D257" s="2" t="s">
        <v>626</v>
      </c>
      <c r="E257" s="3" t="str">
        <f t="shared" ref="E257:E490" si="6">B257 &amp;" "&amp;C257&amp;" "&amp;D257</f>
        <v>MR. JESSIE LIU</v>
      </c>
      <c r="F257" s="7">
        <v>23631</v>
      </c>
      <c r="G257" s="3">
        <f t="shared" ref="G257:G328" si="7">YEAR(F257)</f>
        <v>1964</v>
      </c>
      <c r="H257" s="2" t="s">
        <v>22</v>
      </c>
      <c r="I257" s="3" t="str">
        <f t="shared" ref="I257:I328" si="8">IF(H257="M","Married","Single")</f>
        <v>Single</v>
      </c>
      <c r="J257" s="2" t="s">
        <v>23</v>
      </c>
      <c r="K257" s="3" t="str">
        <f t="shared" ref="K257:K328" si="9">IF(J257="M","Male","Female")</f>
        <v>Male</v>
      </c>
      <c r="L257" s="2" t="s">
        <v>627</v>
      </c>
      <c r="M257" s="3" t="str">
        <f t="shared" ref="M257:M328" si="10">LEFT(L257,SEARCH("@",L257)-1)</f>
        <v>jessie9</v>
      </c>
      <c r="N257" s="4">
        <v>70000</v>
      </c>
      <c r="O257" s="6" t="str">
        <f t="shared" ref="O257:O328" si="11">IF(N257&gt;=150000,"Wealthy",IF(N257&gt;=100000,"Rich",IF(N257&gt;=50000,"Average","Poor")))</f>
        <v>Average</v>
      </c>
      <c r="P257" s="2">
        <v>0</v>
      </c>
      <c r="Q257" s="2" t="s">
        <v>47</v>
      </c>
      <c r="R257" s="2" t="s">
        <v>48</v>
      </c>
      <c r="S257" s="2" t="s">
        <v>31</v>
      </c>
    </row>
    <row r="258" spans="1:19" ht="14.25" customHeight="1" x14ac:dyDescent="0.2">
      <c r="A258" s="2">
        <v>11107</v>
      </c>
      <c r="B258" s="2" t="s">
        <v>32</v>
      </c>
      <c r="C258" s="2" t="s">
        <v>327</v>
      </c>
      <c r="D258" s="2" t="s">
        <v>241</v>
      </c>
      <c r="E258" s="3" t="str">
        <f t="shared" si="6"/>
        <v>MRS. BIANCA LIN</v>
      </c>
      <c r="F258" s="7">
        <v>21802</v>
      </c>
      <c r="G258" s="3">
        <f t="shared" si="7"/>
        <v>1959</v>
      </c>
      <c r="H258" s="2" t="s">
        <v>23</v>
      </c>
      <c r="I258" s="3" t="str">
        <f t="shared" si="8"/>
        <v>Married</v>
      </c>
      <c r="J258" s="2" t="s">
        <v>35</v>
      </c>
      <c r="K258" s="3" t="str">
        <f t="shared" si="9"/>
        <v>Female</v>
      </c>
      <c r="L258" s="2" t="s">
        <v>628</v>
      </c>
      <c r="M258" s="3" t="str">
        <f t="shared" si="10"/>
        <v>bianca7</v>
      </c>
      <c r="N258" s="4">
        <v>90000</v>
      </c>
      <c r="O258" s="6" t="str">
        <f t="shared" si="11"/>
        <v>Average</v>
      </c>
      <c r="P258" s="2">
        <v>1</v>
      </c>
      <c r="Q258" s="2" t="s">
        <v>47</v>
      </c>
      <c r="R258" s="2" t="s">
        <v>48</v>
      </c>
      <c r="S258" s="2" t="s">
        <v>27</v>
      </c>
    </row>
    <row r="259" spans="1:19" ht="14.25" customHeight="1" x14ac:dyDescent="0.2">
      <c r="A259" s="2">
        <v>11108</v>
      </c>
      <c r="B259" s="2" t="s">
        <v>43</v>
      </c>
      <c r="C259" s="2" t="s">
        <v>629</v>
      </c>
      <c r="D259" s="2" t="s">
        <v>41</v>
      </c>
      <c r="E259" s="3" t="str">
        <f t="shared" si="6"/>
        <v>MS. KARI ALVAREZ</v>
      </c>
      <c r="F259" s="7">
        <v>23206</v>
      </c>
      <c r="G259" s="3">
        <f t="shared" si="7"/>
        <v>1963</v>
      </c>
      <c r="H259" s="2" t="s">
        <v>22</v>
      </c>
      <c r="I259" s="3" t="str">
        <f t="shared" si="8"/>
        <v>Single</v>
      </c>
      <c r="J259" s="2" t="s">
        <v>35</v>
      </c>
      <c r="K259" s="3" t="str">
        <f t="shared" si="9"/>
        <v>Female</v>
      </c>
      <c r="L259" s="2" t="s">
        <v>630</v>
      </c>
      <c r="M259" s="3" t="str">
        <f t="shared" si="10"/>
        <v>kari25</v>
      </c>
      <c r="N259" s="4">
        <v>70000</v>
      </c>
      <c r="O259" s="6" t="str">
        <f t="shared" si="11"/>
        <v>Average</v>
      </c>
      <c r="P259" s="2">
        <v>0</v>
      </c>
      <c r="Q259" s="2" t="s">
        <v>47</v>
      </c>
      <c r="R259" s="2" t="s">
        <v>48</v>
      </c>
      <c r="S259" s="2" t="s">
        <v>31</v>
      </c>
    </row>
    <row r="260" spans="1:19" ht="14.25" customHeight="1" x14ac:dyDescent="0.2">
      <c r="A260" s="2">
        <v>11109</v>
      </c>
      <c r="B260" s="2" t="s">
        <v>19</v>
      </c>
      <c r="C260" s="2" t="s">
        <v>428</v>
      </c>
      <c r="D260" s="2" t="s">
        <v>631</v>
      </c>
      <c r="E260" s="3" t="str">
        <f t="shared" si="6"/>
        <v>MR. RUBEN KAPOOR</v>
      </c>
      <c r="F260" s="7">
        <v>23320</v>
      </c>
      <c r="G260" s="3">
        <f t="shared" si="7"/>
        <v>1963</v>
      </c>
      <c r="H260" s="2" t="s">
        <v>22</v>
      </c>
      <c r="I260" s="3" t="str">
        <f t="shared" si="8"/>
        <v>Single</v>
      </c>
      <c r="J260" s="2" t="s">
        <v>23</v>
      </c>
      <c r="K260" s="3" t="str">
        <f t="shared" si="9"/>
        <v>Male</v>
      </c>
      <c r="L260" s="2" t="s">
        <v>632</v>
      </c>
      <c r="M260" s="3" t="str">
        <f t="shared" si="10"/>
        <v>ruben1</v>
      </c>
      <c r="N260" s="4">
        <v>70000</v>
      </c>
      <c r="O260" s="6" t="str">
        <f t="shared" si="11"/>
        <v>Average</v>
      </c>
      <c r="P260" s="2">
        <v>0</v>
      </c>
      <c r="Q260" s="2" t="s">
        <v>47</v>
      </c>
      <c r="R260" s="2" t="s">
        <v>48</v>
      </c>
      <c r="S260" s="2" t="s">
        <v>31</v>
      </c>
    </row>
    <row r="261" spans="1:19" ht="14.25" customHeight="1" x14ac:dyDescent="0.2">
      <c r="A261" s="2">
        <v>11110</v>
      </c>
      <c r="B261" s="2" t="s">
        <v>19</v>
      </c>
      <c r="C261" s="2" t="s">
        <v>320</v>
      </c>
      <c r="D261" s="2" t="s">
        <v>417</v>
      </c>
      <c r="E261" s="3" t="str">
        <f t="shared" si="6"/>
        <v>MR. CURTIS YANG</v>
      </c>
      <c r="F261" s="7">
        <v>22803</v>
      </c>
      <c r="G261" s="3">
        <f t="shared" si="7"/>
        <v>1962</v>
      </c>
      <c r="H261" s="2" t="s">
        <v>23</v>
      </c>
      <c r="I261" s="3" t="str">
        <f t="shared" si="8"/>
        <v>Married</v>
      </c>
      <c r="J261" s="2" t="s">
        <v>23</v>
      </c>
      <c r="K261" s="3" t="str">
        <f t="shared" si="9"/>
        <v>Male</v>
      </c>
      <c r="L261" s="2" t="s">
        <v>633</v>
      </c>
      <c r="M261" s="3" t="str">
        <f t="shared" si="10"/>
        <v>curtis5</v>
      </c>
      <c r="N261" s="4">
        <v>60000</v>
      </c>
      <c r="O261" s="6" t="str">
        <f t="shared" si="11"/>
        <v>Average</v>
      </c>
      <c r="P261" s="2">
        <v>1</v>
      </c>
      <c r="Q261" s="2" t="s">
        <v>81</v>
      </c>
      <c r="R261" s="2" t="s">
        <v>82</v>
      </c>
      <c r="S261" s="2" t="s">
        <v>27</v>
      </c>
    </row>
    <row r="262" spans="1:19" ht="14.25" customHeight="1" x14ac:dyDescent="0.2">
      <c r="A262" s="2">
        <v>11111</v>
      </c>
      <c r="B262" s="2" t="s">
        <v>32</v>
      </c>
      <c r="C262" s="2" t="s">
        <v>634</v>
      </c>
      <c r="D262" s="2" t="s">
        <v>635</v>
      </c>
      <c r="E262" s="3" t="str">
        <f t="shared" si="6"/>
        <v>MRS. MEREDITH GUTIERREZ</v>
      </c>
      <c r="F262" s="7">
        <v>22700</v>
      </c>
      <c r="G262" s="3">
        <f t="shared" si="7"/>
        <v>1962</v>
      </c>
      <c r="H262" s="2" t="s">
        <v>23</v>
      </c>
      <c r="I262" s="3" t="str">
        <f t="shared" si="8"/>
        <v>Married</v>
      </c>
      <c r="J262" s="2" t="s">
        <v>35</v>
      </c>
      <c r="K262" s="3" t="str">
        <f t="shared" si="9"/>
        <v>Female</v>
      </c>
      <c r="L262" s="2" t="s">
        <v>636</v>
      </c>
      <c r="M262" s="3" t="str">
        <f t="shared" si="10"/>
        <v>meredith34</v>
      </c>
      <c r="N262" s="4">
        <v>60000</v>
      </c>
      <c r="O262" s="6" t="str">
        <f t="shared" si="11"/>
        <v>Average</v>
      </c>
      <c r="P262" s="2">
        <v>1</v>
      </c>
      <c r="Q262" s="2" t="s">
        <v>81</v>
      </c>
      <c r="R262" s="2" t="s">
        <v>82</v>
      </c>
      <c r="S262" s="2" t="s">
        <v>27</v>
      </c>
    </row>
    <row r="263" spans="1:19" ht="14.25" customHeight="1" x14ac:dyDescent="0.2">
      <c r="A263" s="2">
        <v>11112</v>
      </c>
      <c r="B263" s="2" t="s">
        <v>32</v>
      </c>
      <c r="C263" s="2" t="s">
        <v>637</v>
      </c>
      <c r="D263" s="2" t="s">
        <v>175</v>
      </c>
      <c r="E263" s="3" t="str">
        <f t="shared" si="6"/>
        <v>MRS. CRYSTAL WANG</v>
      </c>
      <c r="F263" s="7">
        <v>22898</v>
      </c>
      <c r="G263" s="3">
        <f t="shared" si="7"/>
        <v>1962</v>
      </c>
      <c r="H263" s="2" t="s">
        <v>23</v>
      </c>
      <c r="I263" s="3" t="str">
        <f t="shared" si="8"/>
        <v>Married</v>
      </c>
      <c r="J263" s="2" t="s">
        <v>35</v>
      </c>
      <c r="K263" s="3" t="str">
        <f t="shared" si="9"/>
        <v>Female</v>
      </c>
      <c r="L263" s="2" t="s">
        <v>638</v>
      </c>
      <c r="M263" s="3" t="str">
        <f t="shared" si="10"/>
        <v>crystal3</v>
      </c>
      <c r="N263" s="4">
        <v>60000</v>
      </c>
      <c r="O263" s="6" t="str">
        <f t="shared" si="11"/>
        <v>Average</v>
      </c>
      <c r="P263" s="2">
        <v>1</v>
      </c>
      <c r="Q263" s="2" t="s">
        <v>81</v>
      </c>
      <c r="R263" s="2" t="s">
        <v>82</v>
      </c>
      <c r="S263" s="2" t="s">
        <v>27</v>
      </c>
    </row>
    <row r="264" spans="1:19" ht="14.25" customHeight="1" x14ac:dyDescent="0.2">
      <c r="A264" s="2">
        <v>11113</v>
      </c>
      <c r="B264" s="2" t="s">
        <v>19</v>
      </c>
      <c r="C264" s="2" t="s">
        <v>639</v>
      </c>
      <c r="D264" s="2" t="s">
        <v>640</v>
      </c>
      <c r="E264" s="3" t="str">
        <f t="shared" si="6"/>
        <v>MR. MICHEAL BLANCO</v>
      </c>
      <c r="F264" s="7">
        <v>22698</v>
      </c>
      <c r="G264" s="3">
        <f t="shared" si="7"/>
        <v>1962</v>
      </c>
      <c r="H264" s="2" t="s">
        <v>23</v>
      </c>
      <c r="I264" s="3" t="str">
        <f t="shared" si="8"/>
        <v>Married</v>
      </c>
      <c r="J264" s="2" t="s">
        <v>23</v>
      </c>
      <c r="K264" s="3" t="str">
        <f t="shared" si="9"/>
        <v>Male</v>
      </c>
      <c r="L264" s="2" t="s">
        <v>641</v>
      </c>
      <c r="M264" s="3" t="str">
        <f t="shared" si="10"/>
        <v>micheal11</v>
      </c>
      <c r="N264" s="4">
        <v>70000</v>
      </c>
      <c r="O264" s="6" t="str">
        <f t="shared" si="11"/>
        <v>Average</v>
      </c>
      <c r="P264" s="2">
        <v>5</v>
      </c>
      <c r="Q264" s="2" t="s">
        <v>47</v>
      </c>
      <c r="R264" s="2" t="s">
        <v>48</v>
      </c>
      <c r="S264" s="2" t="s">
        <v>27</v>
      </c>
    </row>
    <row r="265" spans="1:19" ht="14.25" customHeight="1" x14ac:dyDescent="0.2">
      <c r="A265" s="2">
        <v>11114</v>
      </c>
      <c r="B265" s="2" t="s">
        <v>32</v>
      </c>
      <c r="C265" s="2" t="s">
        <v>642</v>
      </c>
      <c r="D265" s="2" t="s">
        <v>105</v>
      </c>
      <c r="E265" s="3" t="str">
        <f t="shared" si="6"/>
        <v>MRS. LESLIE MORENO</v>
      </c>
      <c r="F265" s="7">
        <v>22794</v>
      </c>
      <c r="G265" s="3">
        <f t="shared" si="7"/>
        <v>1962</v>
      </c>
      <c r="H265" s="2" t="s">
        <v>22</v>
      </c>
      <c r="I265" s="3" t="str">
        <f t="shared" si="8"/>
        <v>Single</v>
      </c>
      <c r="J265" s="2" t="s">
        <v>35</v>
      </c>
      <c r="K265" s="3" t="str">
        <f t="shared" si="9"/>
        <v>Female</v>
      </c>
      <c r="L265" s="2" t="s">
        <v>643</v>
      </c>
      <c r="M265" s="3" t="str">
        <f t="shared" si="10"/>
        <v>leslie7</v>
      </c>
      <c r="N265" s="4">
        <v>70000</v>
      </c>
      <c r="O265" s="6" t="str">
        <f t="shared" si="11"/>
        <v>Average</v>
      </c>
      <c r="P265" s="2">
        <v>5</v>
      </c>
      <c r="Q265" s="2" t="s">
        <v>81</v>
      </c>
      <c r="R265" s="2" t="s">
        <v>82</v>
      </c>
      <c r="S265" s="2" t="s">
        <v>27</v>
      </c>
    </row>
    <row r="266" spans="1:19" ht="14.25" customHeight="1" x14ac:dyDescent="0.2">
      <c r="A266" s="2">
        <v>11115</v>
      </c>
      <c r="B266" s="2" t="s">
        <v>19</v>
      </c>
      <c r="C266" s="2" t="s">
        <v>644</v>
      </c>
      <c r="D266" s="2" t="s">
        <v>29</v>
      </c>
      <c r="E266" s="3" t="str">
        <f t="shared" si="6"/>
        <v>MR. ALVIN CAI</v>
      </c>
      <c r="F266" s="7">
        <v>22689</v>
      </c>
      <c r="G266" s="3">
        <f t="shared" si="7"/>
        <v>1962</v>
      </c>
      <c r="H266" s="2" t="s">
        <v>23</v>
      </c>
      <c r="I266" s="3" t="str">
        <f t="shared" si="8"/>
        <v>Married</v>
      </c>
      <c r="J266" s="2" t="s">
        <v>23</v>
      </c>
      <c r="K266" s="3" t="str">
        <f t="shared" si="9"/>
        <v>Male</v>
      </c>
      <c r="L266" s="2" t="s">
        <v>645</v>
      </c>
      <c r="M266" s="3" t="str">
        <f t="shared" si="10"/>
        <v>alvin20</v>
      </c>
      <c r="N266" s="4">
        <v>70000</v>
      </c>
      <c r="O266" s="6" t="str">
        <f t="shared" si="11"/>
        <v>Average</v>
      </c>
      <c r="P266" s="2">
        <v>5</v>
      </c>
      <c r="Q266" s="2" t="s">
        <v>81</v>
      </c>
      <c r="R266" s="2" t="s">
        <v>82</v>
      </c>
      <c r="S266" s="2" t="s">
        <v>27</v>
      </c>
    </row>
    <row r="267" spans="1:19" ht="14.25" customHeight="1" x14ac:dyDescent="0.2">
      <c r="A267" s="2">
        <v>11116</v>
      </c>
      <c r="B267" s="2" t="s">
        <v>19</v>
      </c>
      <c r="C267" s="2" t="s">
        <v>646</v>
      </c>
      <c r="D267" s="2" t="s">
        <v>440</v>
      </c>
      <c r="E267" s="3" t="str">
        <f t="shared" si="6"/>
        <v>MR. CLINTON CARLSON</v>
      </c>
      <c r="F267" s="7">
        <v>22926</v>
      </c>
      <c r="G267" s="3">
        <f t="shared" si="7"/>
        <v>1962</v>
      </c>
      <c r="H267" s="2" t="s">
        <v>23</v>
      </c>
      <c r="I267" s="3" t="str">
        <f t="shared" si="8"/>
        <v>Married</v>
      </c>
      <c r="J267" s="2" t="s">
        <v>23</v>
      </c>
      <c r="K267" s="3" t="str">
        <f t="shared" si="9"/>
        <v>Male</v>
      </c>
      <c r="L267" s="2" t="s">
        <v>647</v>
      </c>
      <c r="M267" s="3" t="str">
        <f t="shared" si="10"/>
        <v>clinton14</v>
      </c>
      <c r="N267" s="4">
        <v>70000</v>
      </c>
      <c r="O267" s="6" t="str">
        <f t="shared" si="11"/>
        <v>Average</v>
      </c>
      <c r="P267" s="2">
        <v>5</v>
      </c>
      <c r="Q267" s="2" t="s">
        <v>81</v>
      </c>
      <c r="R267" s="2" t="s">
        <v>82</v>
      </c>
      <c r="S267" s="2" t="s">
        <v>27</v>
      </c>
    </row>
    <row r="268" spans="1:19" ht="14.25" customHeight="1" x14ac:dyDescent="0.2">
      <c r="A268" s="2">
        <v>11117</v>
      </c>
      <c r="B268" s="2" t="s">
        <v>32</v>
      </c>
      <c r="C268" s="2" t="s">
        <v>648</v>
      </c>
      <c r="D268" s="2" t="s">
        <v>202</v>
      </c>
      <c r="E268" s="3" t="str">
        <f t="shared" si="6"/>
        <v>MRS. APRIL DENG</v>
      </c>
      <c r="F268" s="7">
        <v>22333</v>
      </c>
      <c r="G268" s="3">
        <f t="shared" si="7"/>
        <v>1961</v>
      </c>
      <c r="H268" s="2" t="s">
        <v>23</v>
      </c>
      <c r="I268" s="3" t="str">
        <f t="shared" si="8"/>
        <v>Married</v>
      </c>
      <c r="J268" s="2" t="s">
        <v>35</v>
      </c>
      <c r="K268" s="3" t="str">
        <f t="shared" si="9"/>
        <v>Female</v>
      </c>
      <c r="L268" s="2" t="s">
        <v>649</v>
      </c>
      <c r="M268" s="3" t="str">
        <f t="shared" si="10"/>
        <v>april1</v>
      </c>
      <c r="N268" s="4">
        <v>70000</v>
      </c>
      <c r="O268" s="6" t="str">
        <f t="shared" si="11"/>
        <v>Average</v>
      </c>
      <c r="P268" s="2">
        <v>5</v>
      </c>
      <c r="Q268" s="2" t="s">
        <v>81</v>
      </c>
      <c r="R268" s="2" t="s">
        <v>82</v>
      </c>
      <c r="S268" s="2" t="s">
        <v>27</v>
      </c>
    </row>
    <row r="269" spans="1:19" ht="14.25" customHeight="1" x14ac:dyDescent="0.2">
      <c r="A269" s="2">
        <v>11118</v>
      </c>
      <c r="B269" s="2" t="s">
        <v>19</v>
      </c>
      <c r="C269" s="2" t="s">
        <v>644</v>
      </c>
      <c r="D269" s="2" t="s">
        <v>178</v>
      </c>
      <c r="E269" s="3" t="str">
        <f t="shared" si="6"/>
        <v>MR. ALVIN ZENG</v>
      </c>
      <c r="F269" s="7">
        <v>21004</v>
      </c>
      <c r="G269" s="3">
        <f t="shared" si="7"/>
        <v>1957</v>
      </c>
      <c r="H269" s="2" t="s">
        <v>22</v>
      </c>
      <c r="I269" s="3" t="str">
        <f t="shared" si="8"/>
        <v>Single</v>
      </c>
      <c r="J269" s="2" t="s">
        <v>23</v>
      </c>
      <c r="K269" s="3" t="str">
        <f t="shared" si="9"/>
        <v>Male</v>
      </c>
      <c r="L269" s="2" t="s">
        <v>650</v>
      </c>
      <c r="M269" s="3" t="str">
        <f t="shared" si="10"/>
        <v>alvin21</v>
      </c>
      <c r="N269" s="4">
        <v>80000</v>
      </c>
      <c r="O269" s="6" t="str">
        <f t="shared" si="11"/>
        <v>Average</v>
      </c>
      <c r="P269" s="2">
        <v>1</v>
      </c>
      <c r="Q269" s="2" t="s">
        <v>81</v>
      </c>
      <c r="R269" s="2" t="s">
        <v>82</v>
      </c>
      <c r="S269" s="2" t="s">
        <v>31</v>
      </c>
    </row>
    <row r="270" spans="1:19" ht="14.25" customHeight="1" x14ac:dyDescent="0.2">
      <c r="A270" s="2">
        <v>11119</v>
      </c>
      <c r="B270" s="2" t="s">
        <v>19</v>
      </c>
      <c r="C270" s="2" t="s">
        <v>651</v>
      </c>
      <c r="D270" s="2" t="s">
        <v>69</v>
      </c>
      <c r="E270" s="3" t="str">
        <f t="shared" si="6"/>
        <v>MR. EVAN JAMES</v>
      </c>
      <c r="F270" s="7">
        <v>12884</v>
      </c>
      <c r="G270" s="3">
        <f t="shared" si="7"/>
        <v>1935</v>
      </c>
      <c r="H270" s="2" t="s">
        <v>22</v>
      </c>
      <c r="I270" s="3" t="str">
        <f t="shared" si="8"/>
        <v>Single</v>
      </c>
      <c r="J270" s="2" t="s">
        <v>23</v>
      </c>
      <c r="K270" s="3" t="str">
        <f t="shared" si="9"/>
        <v>Male</v>
      </c>
      <c r="L270" s="2" t="s">
        <v>652</v>
      </c>
      <c r="M270" s="3" t="str">
        <f t="shared" si="10"/>
        <v>evan8</v>
      </c>
      <c r="N270" s="4">
        <v>30000</v>
      </c>
      <c r="O270" s="6" t="str">
        <f t="shared" si="11"/>
        <v>Poor</v>
      </c>
      <c r="P270" s="2">
        <v>2</v>
      </c>
      <c r="Q270" s="2" t="s">
        <v>81</v>
      </c>
      <c r="R270" s="2" t="s">
        <v>94</v>
      </c>
      <c r="S270" s="2" t="s">
        <v>31</v>
      </c>
    </row>
    <row r="271" spans="1:19" ht="14.25" customHeight="1" x14ac:dyDescent="0.2">
      <c r="A271" s="2">
        <v>11121</v>
      </c>
      <c r="B271" s="2" t="s">
        <v>19</v>
      </c>
      <c r="C271" s="2" t="s">
        <v>653</v>
      </c>
      <c r="D271" s="2" t="s">
        <v>443</v>
      </c>
      <c r="E271" s="3" t="str">
        <f t="shared" si="6"/>
        <v>MR. ORLANDO SUAREZ</v>
      </c>
      <c r="F271" s="7">
        <v>22238</v>
      </c>
      <c r="G271" s="3">
        <f t="shared" si="7"/>
        <v>1960</v>
      </c>
      <c r="H271" s="2" t="s">
        <v>23</v>
      </c>
      <c r="I271" s="3" t="str">
        <f t="shared" si="8"/>
        <v>Married</v>
      </c>
      <c r="J271" s="2" t="s">
        <v>23</v>
      </c>
      <c r="K271" s="3" t="str">
        <f t="shared" si="9"/>
        <v>Male</v>
      </c>
      <c r="L271" s="2" t="s">
        <v>654</v>
      </c>
      <c r="M271" s="3" t="str">
        <f t="shared" si="10"/>
        <v>orlando19</v>
      </c>
      <c r="N271" s="4">
        <v>70000</v>
      </c>
      <c r="O271" s="6" t="str">
        <f t="shared" si="11"/>
        <v>Average</v>
      </c>
      <c r="P271" s="2">
        <v>5</v>
      </c>
      <c r="Q271" s="2" t="s">
        <v>81</v>
      </c>
      <c r="R271" s="2" t="s">
        <v>82</v>
      </c>
      <c r="S271" s="2" t="s">
        <v>27</v>
      </c>
    </row>
    <row r="272" spans="1:19" ht="14.25" customHeight="1" x14ac:dyDescent="0.2">
      <c r="A272" s="2">
        <v>11122</v>
      </c>
      <c r="B272" s="2" t="s">
        <v>19</v>
      </c>
      <c r="C272" s="2" t="s">
        <v>655</v>
      </c>
      <c r="D272" s="2" t="s">
        <v>169</v>
      </c>
      <c r="E272" s="3" t="str">
        <f t="shared" si="6"/>
        <v>MR. BYRON VAZQUEZ</v>
      </c>
      <c r="F272" s="7">
        <v>22008</v>
      </c>
      <c r="G272" s="3">
        <f t="shared" si="7"/>
        <v>1960</v>
      </c>
      <c r="H272" s="2" t="s">
        <v>23</v>
      </c>
      <c r="I272" s="3" t="str">
        <f t="shared" si="8"/>
        <v>Married</v>
      </c>
      <c r="J272" s="2" t="s">
        <v>23</v>
      </c>
      <c r="K272" s="3" t="str">
        <f t="shared" si="9"/>
        <v>Male</v>
      </c>
      <c r="L272" s="2" t="s">
        <v>656</v>
      </c>
      <c r="M272" s="3" t="str">
        <f t="shared" si="10"/>
        <v>byron9</v>
      </c>
      <c r="N272" s="4">
        <v>70000</v>
      </c>
      <c r="O272" s="6" t="str">
        <f t="shared" si="11"/>
        <v>Average</v>
      </c>
      <c r="P272" s="2">
        <v>5</v>
      </c>
      <c r="Q272" s="2" t="s">
        <v>81</v>
      </c>
      <c r="R272" s="2" t="s">
        <v>82</v>
      </c>
      <c r="S272" s="2" t="s">
        <v>27</v>
      </c>
    </row>
    <row r="273" spans="1:19" ht="14.25" customHeight="1" x14ac:dyDescent="0.2">
      <c r="A273" s="2">
        <v>11123</v>
      </c>
      <c r="B273" s="2" t="s">
        <v>19</v>
      </c>
      <c r="C273" s="2" t="s">
        <v>657</v>
      </c>
      <c r="D273" s="2" t="s">
        <v>41</v>
      </c>
      <c r="E273" s="3" t="str">
        <f t="shared" si="6"/>
        <v>MR. PHILIP ALVAREZ</v>
      </c>
      <c r="F273" s="7">
        <v>22087</v>
      </c>
      <c r="G273" s="3">
        <f t="shared" si="7"/>
        <v>1960</v>
      </c>
      <c r="H273" s="2" t="s">
        <v>23</v>
      </c>
      <c r="I273" s="3" t="str">
        <f t="shared" si="8"/>
        <v>Married</v>
      </c>
      <c r="J273" s="2" t="s">
        <v>23</v>
      </c>
      <c r="K273" s="3" t="str">
        <f t="shared" si="9"/>
        <v>Male</v>
      </c>
      <c r="L273" s="2" t="s">
        <v>658</v>
      </c>
      <c r="M273" s="3" t="str">
        <f t="shared" si="10"/>
        <v>philip4</v>
      </c>
      <c r="N273" s="4">
        <v>70000</v>
      </c>
      <c r="O273" s="6" t="str">
        <f t="shared" si="11"/>
        <v>Average</v>
      </c>
      <c r="P273" s="2">
        <v>5</v>
      </c>
      <c r="Q273" s="2" t="s">
        <v>81</v>
      </c>
      <c r="R273" s="2" t="s">
        <v>82</v>
      </c>
      <c r="S273" s="2" t="s">
        <v>27</v>
      </c>
    </row>
    <row r="274" spans="1:19" ht="14.25" customHeight="1" x14ac:dyDescent="0.2">
      <c r="A274" s="2">
        <v>11124</v>
      </c>
      <c r="B274" s="2" t="s">
        <v>19</v>
      </c>
      <c r="C274" s="2" t="s">
        <v>613</v>
      </c>
      <c r="D274" s="2" t="s">
        <v>292</v>
      </c>
      <c r="E274" s="3" t="str">
        <f t="shared" si="6"/>
        <v>MR. ROSS JORDAN</v>
      </c>
      <c r="F274" s="7">
        <v>21028</v>
      </c>
      <c r="G274" s="3">
        <f t="shared" si="7"/>
        <v>1957</v>
      </c>
      <c r="H274" s="2" t="s">
        <v>22</v>
      </c>
      <c r="I274" s="3" t="str">
        <f t="shared" si="8"/>
        <v>Single</v>
      </c>
      <c r="J274" s="2" t="s">
        <v>23</v>
      </c>
      <c r="K274" s="3" t="str">
        <f t="shared" si="9"/>
        <v>Male</v>
      </c>
      <c r="L274" s="2" t="s">
        <v>659</v>
      </c>
      <c r="M274" s="3" t="str">
        <f t="shared" si="10"/>
        <v>ross1</v>
      </c>
      <c r="N274" s="4">
        <v>80000</v>
      </c>
      <c r="O274" s="6" t="str">
        <f t="shared" si="11"/>
        <v>Average</v>
      </c>
      <c r="P274" s="2">
        <v>1</v>
      </c>
      <c r="Q274" s="2" t="s">
        <v>81</v>
      </c>
      <c r="R274" s="2" t="s">
        <v>82</v>
      </c>
      <c r="S274" s="2" t="s">
        <v>27</v>
      </c>
    </row>
    <row r="275" spans="1:19" ht="14.25" customHeight="1" x14ac:dyDescent="0.2">
      <c r="A275" s="2">
        <v>11125</v>
      </c>
      <c r="B275" s="2" t="s">
        <v>32</v>
      </c>
      <c r="C275" s="2" t="s">
        <v>660</v>
      </c>
      <c r="D275" s="2" t="s">
        <v>323</v>
      </c>
      <c r="E275" s="3" t="str">
        <f t="shared" si="6"/>
        <v>MRS. DANA NAVARRO</v>
      </c>
      <c r="F275" s="7">
        <v>20553</v>
      </c>
      <c r="G275" s="3">
        <f t="shared" si="7"/>
        <v>1956</v>
      </c>
      <c r="H275" s="2" t="s">
        <v>22</v>
      </c>
      <c r="I275" s="3" t="str">
        <f t="shared" si="8"/>
        <v>Single</v>
      </c>
      <c r="J275" s="2" t="s">
        <v>35</v>
      </c>
      <c r="K275" s="3" t="str">
        <f t="shared" si="9"/>
        <v>Female</v>
      </c>
      <c r="L275" s="2" t="s">
        <v>661</v>
      </c>
      <c r="M275" s="3" t="str">
        <f t="shared" si="10"/>
        <v>dana2</v>
      </c>
      <c r="N275" s="4">
        <v>70000</v>
      </c>
      <c r="O275" s="6" t="str">
        <f t="shared" si="11"/>
        <v>Average</v>
      </c>
      <c r="P275" s="2">
        <v>1</v>
      </c>
      <c r="Q275" s="2" t="s">
        <v>81</v>
      </c>
      <c r="R275" s="2" t="s">
        <v>82</v>
      </c>
      <c r="S275" s="2" t="s">
        <v>27</v>
      </c>
    </row>
    <row r="276" spans="1:19" ht="14.25" customHeight="1" x14ac:dyDescent="0.2">
      <c r="A276" s="2">
        <v>11126</v>
      </c>
      <c r="B276" s="2" t="s">
        <v>19</v>
      </c>
      <c r="C276" s="2" t="s">
        <v>662</v>
      </c>
      <c r="D276" s="2" t="s">
        <v>217</v>
      </c>
      <c r="E276" s="3" t="str">
        <f t="shared" si="6"/>
        <v>MR. SHAUN CARSON</v>
      </c>
      <c r="F276" s="7">
        <v>17995</v>
      </c>
      <c r="G276" s="3">
        <f t="shared" si="7"/>
        <v>1949</v>
      </c>
      <c r="H276" s="2" t="s">
        <v>23</v>
      </c>
      <c r="I276" s="3" t="str">
        <f t="shared" si="8"/>
        <v>Married</v>
      </c>
      <c r="J276" s="2" t="s">
        <v>23</v>
      </c>
      <c r="K276" s="3" t="str">
        <f t="shared" si="9"/>
        <v>Male</v>
      </c>
      <c r="L276" s="2" t="s">
        <v>663</v>
      </c>
      <c r="M276" s="3" t="str">
        <f t="shared" si="10"/>
        <v>shaun16</v>
      </c>
      <c r="N276" s="4">
        <v>10000</v>
      </c>
      <c r="O276" s="6" t="str">
        <f t="shared" si="11"/>
        <v>Poor</v>
      </c>
      <c r="P276" s="2">
        <v>2</v>
      </c>
      <c r="Q276" s="2" t="s">
        <v>86</v>
      </c>
      <c r="R276" s="2" t="s">
        <v>82</v>
      </c>
      <c r="S276" s="2" t="s">
        <v>31</v>
      </c>
    </row>
    <row r="277" spans="1:19" ht="14.25" customHeight="1" x14ac:dyDescent="0.2">
      <c r="A277" s="2">
        <v>11127</v>
      </c>
      <c r="B277" s="2" t="s">
        <v>43</v>
      </c>
      <c r="C277" s="2" t="s">
        <v>664</v>
      </c>
      <c r="D277" s="2" t="s">
        <v>468</v>
      </c>
      <c r="E277" s="3" t="str">
        <f t="shared" si="6"/>
        <v>MS. JAN EDWARDS</v>
      </c>
      <c r="F277" s="7">
        <v>27688</v>
      </c>
      <c r="G277" s="3">
        <f t="shared" si="7"/>
        <v>1975</v>
      </c>
      <c r="H277" s="2" t="s">
        <v>23</v>
      </c>
      <c r="I277" s="3" t="str">
        <f t="shared" si="8"/>
        <v>Married</v>
      </c>
      <c r="J277" s="2" t="s">
        <v>35</v>
      </c>
      <c r="K277" s="3" t="str">
        <f t="shared" si="9"/>
        <v>Female</v>
      </c>
      <c r="L277" s="2" t="s">
        <v>665</v>
      </c>
      <c r="M277" s="3" t="str">
        <f t="shared" si="10"/>
        <v>jan11</v>
      </c>
      <c r="N277" s="4">
        <v>40000</v>
      </c>
      <c r="O277" s="6" t="str">
        <f t="shared" si="11"/>
        <v>Poor</v>
      </c>
      <c r="P277" s="2">
        <v>0</v>
      </c>
      <c r="Q277" s="2" t="s">
        <v>86</v>
      </c>
      <c r="R277" s="2" t="s">
        <v>82</v>
      </c>
      <c r="S277" s="2" t="s">
        <v>27</v>
      </c>
    </row>
    <row r="278" spans="1:19" ht="14.25" customHeight="1" x14ac:dyDescent="0.2">
      <c r="A278" s="2">
        <v>11128</v>
      </c>
      <c r="B278" s="2" t="s">
        <v>43</v>
      </c>
      <c r="C278" s="2" t="s">
        <v>666</v>
      </c>
      <c r="D278" s="2" t="s">
        <v>667</v>
      </c>
      <c r="E278" s="3" t="str">
        <f t="shared" si="6"/>
        <v>MS. SAMANTHA LONG</v>
      </c>
      <c r="F278" s="7">
        <v>27733</v>
      </c>
      <c r="G278" s="3">
        <f t="shared" si="7"/>
        <v>1975</v>
      </c>
      <c r="H278" s="2" t="s">
        <v>23</v>
      </c>
      <c r="I278" s="3" t="str">
        <f t="shared" si="8"/>
        <v>Married</v>
      </c>
      <c r="J278" s="2" t="s">
        <v>35</v>
      </c>
      <c r="K278" s="3" t="str">
        <f t="shared" si="9"/>
        <v>Female</v>
      </c>
      <c r="L278" s="2" t="s">
        <v>668</v>
      </c>
      <c r="M278" s="3" t="str">
        <f t="shared" si="10"/>
        <v>samantha35</v>
      </c>
      <c r="N278" s="4">
        <v>40000</v>
      </c>
      <c r="O278" s="6" t="str">
        <f t="shared" si="11"/>
        <v>Poor</v>
      </c>
      <c r="P278" s="2">
        <v>0</v>
      </c>
      <c r="Q278" s="2" t="s">
        <v>86</v>
      </c>
      <c r="R278" s="2" t="s">
        <v>82</v>
      </c>
      <c r="S278" s="2" t="s">
        <v>27</v>
      </c>
    </row>
    <row r="279" spans="1:19" ht="14.25" customHeight="1" x14ac:dyDescent="0.2">
      <c r="A279" s="2">
        <v>11129</v>
      </c>
      <c r="B279" s="2" t="s">
        <v>43</v>
      </c>
      <c r="C279" s="2" t="s">
        <v>618</v>
      </c>
      <c r="D279" s="2" t="s">
        <v>669</v>
      </c>
      <c r="E279" s="3" t="str">
        <f t="shared" si="6"/>
        <v>MS. JULIA WRIGHT</v>
      </c>
      <c r="F279" s="7">
        <v>27611</v>
      </c>
      <c r="G279" s="3">
        <f t="shared" si="7"/>
        <v>1975</v>
      </c>
      <c r="H279" s="2" t="s">
        <v>22</v>
      </c>
      <c r="I279" s="3" t="str">
        <f t="shared" si="8"/>
        <v>Single</v>
      </c>
      <c r="J279" s="2" t="s">
        <v>35</v>
      </c>
      <c r="K279" s="3" t="str">
        <f t="shared" si="9"/>
        <v>Female</v>
      </c>
      <c r="L279" s="2" t="s">
        <v>670</v>
      </c>
      <c r="M279" s="3" t="str">
        <f t="shared" si="10"/>
        <v>julia17</v>
      </c>
      <c r="N279" s="4">
        <v>40000</v>
      </c>
      <c r="O279" s="6" t="str">
        <f t="shared" si="11"/>
        <v>Poor</v>
      </c>
      <c r="P279" s="2">
        <v>0</v>
      </c>
      <c r="Q279" s="2" t="s">
        <v>86</v>
      </c>
      <c r="R279" s="2" t="s">
        <v>82</v>
      </c>
      <c r="S279" s="2" t="s">
        <v>27</v>
      </c>
    </row>
    <row r="280" spans="1:19" ht="14.25" customHeight="1" x14ac:dyDescent="0.2">
      <c r="A280" s="2">
        <v>11130</v>
      </c>
      <c r="B280" s="2" t="s">
        <v>43</v>
      </c>
      <c r="C280" s="2" t="s">
        <v>671</v>
      </c>
      <c r="D280" s="2" t="s">
        <v>298</v>
      </c>
      <c r="E280" s="3" t="str">
        <f t="shared" si="6"/>
        <v>MS. CAROLINE RUSSELL</v>
      </c>
      <c r="F280" s="7">
        <v>29226</v>
      </c>
      <c r="G280" s="3">
        <f t="shared" si="7"/>
        <v>1980</v>
      </c>
      <c r="H280" s="2" t="s">
        <v>23</v>
      </c>
      <c r="I280" s="3" t="str">
        <f t="shared" si="8"/>
        <v>Married</v>
      </c>
      <c r="J280" s="2" t="s">
        <v>35</v>
      </c>
      <c r="K280" s="3" t="str">
        <f t="shared" si="9"/>
        <v>Female</v>
      </c>
      <c r="L280" s="2" t="s">
        <v>672</v>
      </c>
      <c r="M280" s="3" t="str">
        <f t="shared" si="10"/>
        <v>caroline21</v>
      </c>
      <c r="N280" s="4">
        <v>30000</v>
      </c>
      <c r="O280" s="6" t="str">
        <f t="shared" si="11"/>
        <v>Poor</v>
      </c>
      <c r="P280" s="2">
        <v>0</v>
      </c>
      <c r="Q280" s="2" t="s">
        <v>86</v>
      </c>
      <c r="R280" s="2" t="s">
        <v>82</v>
      </c>
      <c r="S280" s="2" t="s">
        <v>27</v>
      </c>
    </row>
    <row r="281" spans="1:19" ht="14.25" customHeight="1" x14ac:dyDescent="0.2">
      <c r="A281" s="2">
        <v>11131</v>
      </c>
      <c r="B281" s="2" t="s">
        <v>43</v>
      </c>
      <c r="C281" s="2" t="s">
        <v>502</v>
      </c>
      <c r="D281" s="2" t="s">
        <v>673</v>
      </c>
      <c r="E281" s="3" t="str">
        <f t="shared" si="6"/>
        <v>MS. AMANDA RIVERA</v>
      </c>
      <c r="F281" s="7">
        <v>29292</v>
      </c>
      <c r="G281" s="3">
        <f t="shared" si="7"/>
        <v>1980</v>
      </c>
      <c r="H281" s="2" t="s">
        <v>23</v>
      </c>
      <c r="I281" s="3" t="str">
        <f t="shared" si="8"/>
        <v>Married</v>
      </c>
      <c r="J281" s="2" t="s">
        <v>35</v>
      </c>
      <c r="K281" s="3" t="str">
        <f t="shared" si="9"/>
        <v>Female</v>
      </c>
      <c r="L281" s="2" t="s">
        <v>674</v>
      </c>
      <c r="M281" s="3" t="str">
        <f t="shared" si="10"/>
        <v>amanda7</v>
      </c>
      <c r="N281" s="4">
        <v>30000</v>
      </c>
      <c r="O281" s="6" t="str">
        <f t="shared" si="11"/>
        <v>Poor</v>
      </c>
      <c r="P281" s="2">
        <v>0</v>
      </c>
      <c r="Q281" s="2" t="s">
        <v>86</v>
      </c>
      <c r="R281" s="2" t="s">
        <v>82</v>
      </c>
      <c r="S281" s="2" t="s">
        <v>31</v>
      </c>
    </row>
    <row r="282" spans="1:19" ht="14.25" customHeight="1" x14ac:dyDescent="0.2">
      <c r="A282" s="2">
        <v>11132</v>
      </c>
      <c r="B282" s="2" t="s">
        <v>43</v>
      </c>
      <c r="C282" s="2" t="s">
        <v>675</v>
      </c>
      <c r="D282" s="2" t="s">
        <v>676</v>
      </c>
      <c r="E282" s="3" t="str">
        <f t="shared" si="6"/>
        <v>MS. MELISSA RICHARDSON</v>
      </c>
      <c r="F282" s="7">
        <v>29520</v>
      </c>
      <c r="G282" s="3">
        <f t="shared" si="7"/>
        <v>1980</v>
      </c>
      <c r="H282" s="2" t="s">
        <v>22</v>
      </c>
      <c r="I282" s="3" t="str">
        <f t="shared" si="8"/>
        <v>Single</v>
      </c>
      <c r="J282" s="2" t="s">
        <v>35</v>
      </c>
      <c r="K282" s="3" t="str">
        <f t="shared" si="9"/>
        <v>Female</v>
      </c>
      <c r="L282" s="2" t="s">
        <v>677</v>
      </c>
      <c r="M282" s="3" t="str">
        <f t="shared" si="10"/>
        <v>melissa31</v>
      </c>
      <c r="N282" s="4">
        <v>30000</v>
      </c>
      <c r="O282" s="6" t="str">
        <f t="shared" si="11"/>
        <v>Poor</v>
      </c>
      <c r="P282" s="2">
        <v>0</v>
      </c>
      <c r="Q282" s="2" t="s">
        <v>86</v>
      </c>
      <c r="R282" s="2" t="s">
        <v>82</v>
      </c>
      <c r="S282" s="2" t="s">
        <v>31</v>
      </c>
    </row>
    <row r="283" spans="1:19" ht="14.25" customHeight="1" x14ac:dyDescent="0.2">
      <c r="A283" s="2">
        <v>11133</v>
      </c>
      <c r="B283" s="2" t="s">
        <v>43</v>
      </c>
      <c r="C283" s="2" t="s">
        <v>543</v>
      </c>
      <c r="D283" s="2" t="s">
        <v>293</v>
      </c>
      <c r="E283" s="3" t="str">
        <f t="shared" si="6"/>
        <v>MS. ANGELA GRIFFIN</v>
      </c>
      <c r="F283" s="7">
        <v>29472</v>
      </c>
      <c r="G283" s="3">
        <f t="shared" si="7"/>
        <v>1980</v>
      </c>
      <c r="H283" s="2" t="s">
        <v>22</v>
      </c>
      <c r="I283" s="3" t="str">
        <f t="shared" si="8"/>
        <v>Single</v>
      </c>
      <c r="J283" s="2" t="s">
        <v>35</v>
      </c>
      <c r="K283" s="3" t="str">
        <f t="shared" si="9"/>
        <v>Female</v>
      </c>
      <c r="L283" s="2" t="s">
        <v>678</v>
      </c>
      <c r="M283" s="3" t="str">
        <f t="shared" si="10"/>
        <v>angela23</v>
      </c>
      <c r="N283" s="4">
        <v>30000</v>
      </c>
      <c r="O283" s="6" t="str">
        <f t="shared" si="11"/>
        <v>Poor</v>
      </c>
      <c r="P283" s="2">
        <v>0</v>
      </c>
      <c r="Q283" s="2" t="s">
        <v>93</v>
      </c>
      <c r="R283" s="2" t="s">
        <v>94</v>
      </c>
      <c r="S283" s="2" t="s">
        <v>31</v>
      </c>
    </row>
    <row r="284" spans="1:19" ht="14.25" customHeight="1" x14ac:dyDescent="0.2">
      <c r="A284" s="2">
        <v>11134</v>
      </c>
      <c r="B284" s="2" t="s">
        <v>19</v>
      </c>
      <c r="C284" s="2" t="s">
        <v>679</v>
      </c>
      <c r="D284" s="2" t="s">
        <v>680</v>
      </c>
      <c r="E284" s="3" t="str">
        <f t="shared" si="6"/>
        <v>MR. LARRY TOWNSEND</v>
      </c>
      <c r="F284" s="7">
        <v>16859</v>
      </c>
      <c r="G284" s="3">
        <f t="shared" si="7"/>
        <v>1946</v>
      </c>
      <c r="H284" s="2" t="s">
        <v>22</v>
      </c>
      <c r="I284" s="3" t="str">
        <f t="shared" si="8"/>
        <v>Single</v>
      </c>
      <c r="J284" s="2" t="s">
        <v>23</v>
      </c>
      <c r="K284" s="3" t="str">
        <f t="shared" si="9"/>
        <v>Male</v>
      </c>
      <c r="L284" s="2" t="s">
        <v>681</v>
      </c>
      <c r="M284" s="3" t="str">
        <f t="shared" si="10"/>
        <v>larry14</v>
      </c>
      <c r="N284" s="4">
        <v>10000</v>
      </c>
      <c r="O284" s="6" t="str">
        <f t="shared" si="11"/>
        <v>Poor</v>
      </c>
      <c r="P284" s="2">
        <v>5</v>
      </c>
      <c r="Q284" s="2" t="s">
        <v>86</v>
      </c>
      <c r="R284" s="2" t="s">
        <v>82</v>
      </c>
      <c r="S284" s="2" t="s">
        <v>27</v>
      </c>
    </row>
    <row r="285" spans="1:19" ht="14.25" customHeight="1" x14ac:dyDescent="0.2">
      <c r="A285" s="2">
        <v>11135</v>
      </c>
      <c r="B285" s="2" t="s">
        <v>19</v>
      </c>
      <c r="C285" s="2" t="s">
        <v>682</v>
      </c>
      <c r="D285" s="2" t="s">
        <v>270</v>
      </c>
      <c r="E285" s="3" t="str">
        <f t="shared" si="6"/>
        <v>MR. MARCUS HARRIS</v>
      </c>
      <c r="F285" s="7">
        <v>29162</v>
      </c>
      <c r="G285" s="3">
        <f t="shared" si="7"/>
        <v>1979</v>
      </c>
      <c r="H285" s="2" t="s">
        <v>22</v>
      </c>
      <c r="I285" s="3" t="str">
        <f t="shared" si="8"/>
        <v>Single</v>
      </c>
      <c r="J285" s="2" t="s">
        <v>23</v>
      </c>
      <c r="K285" s="3" t="str">
        <f t="shared" si="9"/>
        <v>Male</v>
      </c>
      <c r="L285" s="2" t="s">
        <v>683</v>
      </c>
      <c r="M285" s="3" t="str">
        <f t="shared" si="10"/>
        <v>marcus14</v>
      </c>
      <c r="N285" s="4">
        <v>30000</v>
      </c>
      <c r="O285" s="6" t="str">
        <f t="shared" si="11"/>
        <v>Poor</v>
      </c>
      <c r="P285" s="2">
        <v>0</v>
      </c>
      <c r="Q285" s="2" t="s">
        <v>93</v>
      </c>
      <c r="R285" s="2" t="s">
        <v>94</v>
      </c>
      <c r="S285" s="2" t="s">
        <v>31</v>
      </c>
    </row>
    <row r="286" spans="1:19" ht="14.25" customHeight="1" x14ac:dyDescent="0.2">
      <c r="A286" s="2">
        <v>11136</v>
      </c>
      <c r="B286" s="2" t="s">
        <v>43</v>
      </c>
      <c r="C286" s="2" t="s">
        <v>684</v>
      </c>
      <c r="D286" s="2" t="s">
        <v>193</v>
      </c>
      <c r="E286" s="3" t="str">
        <f t="shared" si="6"/>
        <v>MS. BRIANNA MORGAN</v>
      </c>
      <c r="F286" s="7">
        <v>28789</v>
      </c>
      <c r="G286" s="3">
        <f t="shared" si="7"/>
        <v>1978</v>
      </c>
      <c r="H286" s="2" t="s">
        <v>22</v>
      </c>
      <c r="I286" s="3" t="str">
        <f t="shared" si="8"/>
        <v>Single</v>
      </c>
      <c r="J286" s="2" t="s">
        <v>35</v>
      </c>
      <c r="K286" s="3" t="str">
        <f t="shared" si="9"/>
        <v>Female</v>
      </c>
      <c r="L286" s="2" t="s">
        <v>685</v>
      </c>
      <c r="M286" s="3" t="str">
        <f t="shared" si="10"/>
        <v>brianna30</v>
      </c>
      <c r="N286" s="4">
        <v>40000</v>
      </c>
      <c r="O286" s="6" t="str">
        <f t="shared" si="11"/>
        <v>Poor</v>
      </c>
      <c r="P286" s="2">
        <v>0</v>
      </c>
      <c r="Q286" s="2" t="s">
        <v>86</v>
      </c>
      <c r="R286" s="2" t="s">
        <v>82</v>
      </c>
      <c r="S286" s="2" t="s">
        <v>31</v>
      </c>
    </row>
    <row r="287" spans="1:19" ht="14.25" customHeight="1" x14ac:dyDescent="0.2">
      <c r="A287" s="2">
        <v>11137</v>
      </c>
      <c r="B287" s="2" t="s">
        <v>43</v>
      </c>
      <c r="C287" s="2" t="s">
        <v>686</v>
      </c>
      <c r="D287" s="2" t="s">
        <v>687</v>
      </c>
      <c r="E287" s="3" t="str">
        <f t="shared" si="6"/>
        <v>MS. JASMINE TAYLOR</v>
      </c>
      <c r="F287" s="7">
        <v>28691</v>
      </c>
      <c r="G287" s="3">
        <f t="shared" si="7"/>
        <v>1978</v>
      </c>
      <c r="H287" s="2" t="s">
        <v>23</v>
      </c>
      <c r="I287" s="3" t="str">
        <f t="shared" si="8"/>
        <v>Married</v>
      </c>
      <c r="J287" s="2" t="s">
        <v>35</v>
      </c>
      <c r="K287" s="3" t="str">
        <f t="shared" si="9"/>
        <v>Female</v>
      </c>
      <c r="L287" s="2" t="s">
        <v>688</v>
      </c>
      <c r="M287" s="3" t="str">
        <f t="shared" si="10"/>
        <v>jasmine7</v>
      </c>
      <c r="N287" s="4">
        <v>40000</v>
      </c>
      <c r="O287" s="6" t="str">
        <f t="shared" si="11"/>
        <v>Poor</v>
      </c>
      <c r="P287" s="2">
        <v>0</v>
      </c>
      <c r="Q287" s="2" t="s">
        <v>86</v>
      </c>
      <c r="R287" s="2" t="s">
        <v>82</v>
      </c>
      <c r="S287" s="2" t="s">
        <v>27</v>
      </c>
    </row>
    <row r="288" spans="1:19" ht="14.25" customHeight="1" x14ac:dyDescent="0.2">
      <c r="A288" s="2">
        <v>11138</v>
      </c>
      <c r="B288" s="2" t="s">
        <v>43</v>
      </c>
      <c r="C288" s="2" t="s">
        <v>446</v>
      </c>
      <c r="D288" s="2" t="s">
        <v>689</v>
      </c>
      <c r="E288" s="3" t="str">
        <f t="shared" si="6"/>
        <v>MS. LAUREN DAVIS</v>
      </c>
      <c r="F288" s="7">
        <v>28748</v>
      </c>
      <c r="G288" s="3">
        <f t="shared" si="7"/>
        <v>1978</v>
      </c>
      <c r="H288" s="2" t="s">
        <v>23</v>
      </c>
      <c r="I288" s="3" t="str">
        <f t="shared" si="8"/>
        <v>Married</v>
      </c>
      <c r="J288" s="2" t="s">
        <v>35</v>
      </c>
      <c r="K288" s="3" t="str">
        <f t="shared" si="9"/>
        <v>Female</v>
      </c>
      <c r="L288" s="2" t="s">
        <v>690</v>
      </c>
      <c r="M288" s="3" t="str">
        <f t="shared" si="10"/>
        <v>lauren23</v>
      </c>
      <c r="N288" s="4">
        <v>40000</v>
      </c>
      <c r="O288" s="6" t="str">
        <f t="shared" si="11"/>
        <v>Poor</v>
      </c>
      <c r="P288" s="2">
        <v>0</v>
      </c>
      <c r="Q288" s="2" t="s">
        <v>86</v>
      </c>
      <c r="R288" s="2" t="s">
        <v>82</v>
      </c>
      <c r="S288" s="2" t="s">
        <v>31</v>
      </c>
    </row>
    <row r="289" spans="1:19" ht="14.25" customHeight="1" x14ac:dyDescent="0.2">
      <c r="A289" s="2">
        <v>11139</v>
      </c>
      <c r="B289" s="2" t="s">
        <v>32</v>
      </c>
      <c r="C289" s="2" t="s">
        <v>691</v>
      </c>
      <c r="D289" s="2" t="s">
        <v>105</v>
      </c>
      <c r="E289" s="3" t="str">
        <f t="shared" si="6"/>
        <v>MRS. TANYA MORENO</v>
      </c>
      <c r="F289" s="7">
        <v>14193</v>
      </c>
      <c r="G289" s="3">
        <f t="shared" si="7"/>
        <v>1938</v>
      </c>
      <c r="H289" s="2" t="s">
        <v>22</v>
      </c>
      <c r="I289" s="3" t="str">
        <f t="shared" si="8"/>
        <v>Single</v>
      </c>
      <c r="J289" s="2" t="s">
        <v>35</v>
      </c>
      <c r="K289" s="3" t="str">
        <f t="shared" si="9"/>
        <v>Female</v>
      </c>
      <c r="L289" s="2" t="s">
        <v>692</v>
      </c>
      <c r="M289" s="3" t="str">
        <f t="shared" si="10"/>
        <v>tanya2</v>
      </c>
      <c r="N289" s="4">
        <v>30000</v>
      </c>
      <c r="O289" s="6" t="str">
        <f t="shared" si="11"/>
        <v>Poor</v>
      </c>
      <c r="P289" s="2">
        <v>2</v>
      </c>
      <c r="Q289" s="2" t="s">
        <v>81</v>
      </c>
      <c r="R289" s="2" t="s">
        <v>94</v>
      </c>
      <c r="S289" s="2" t="s">
        <v>31</v>
      </c>
    </row>
    <row r="290" spans="1:19" ht="14.25" customHeight="1" x14ac:dyDescent="0.2">
      <c r="A290" s="2">
        <v>11140</v>
      </c>
      <c r="B290" s="2" t="s">
        <v>19</v>
      </c>
      <c r="C290" s="2" t="s">
        <v>693</v>
      </c>
      <c r="D290" s="2" t="s">
        <v>41</v>
      </c>
      <c r="E290" s="3" t="str">
        <f t="shared" si="6"/>
        <v>MR. JAVIER ALVAREZ</v>
      </c>
      <c r="F290" s="7">
        <v>28167</v>
      </c>
      <c r="G290" s="3">
        <f t="shared" si="7"/>
        <v>1977</v>
      </c>
      <c r="H290" s="2" t="s">
        <v>22</v>
      </c>
      <c r="I290" s="3" t="str">
        <f t="shared" si="8"/>
        <v>Single</v>
      </c>
      <c r="J290" s="2" t="s">
        <v>23</v>
      </c>
      <c r="K290" s="3" t="str">
        <f t="shared" si="9"/>
        <v>Male</v>
      </c>
      <c r="L290" s="2" t="s">
        <v>694</v>
      </c>
      <c r="M290" s="3" t="str">
        <f t="shared" si="10"/>
        <v>javier1</v>
      </c>
      <c r="N290" s="4">
        <v>30000</v>
      </c>
      <c r="O290" s="6" t="str">
        <f t="shared" si="11"/>
        <v>Poor</v>
      </c>
      <c r="P290" s="2">
        <v>0</v>
      </c>
      <c r="Q290" s="2" t="s">
        <v>93</v>
      </c>
      <c r="R290" s="2" t="s">
        <v>94</v>
      </c>
      <c r="S290" s="2" t="s">
        <v>31</v>
      </c>
    </row>
    <row r="291" spans="1:19" ht="14.25" customHeight="1" x14ac:dyDescent="0.2">
      <c r="A291" s="2">
        <v>11141</v>
      </c>
      <c r="B291" s="2" t="s">
        <v>43</v>
      </c>
      <c r="C291" s="2" t="s">
        <v>695</v>
      </c>
      <c r="D291" s="2" t="s">
        <v>407</v>
      </c>
      <c r="E291" s="3" t="str">
        <f t="shared" si="6"/>
        <v>MS. NICOLE RAMIREZ</v>
      </c>
      <c r="F291" s="7">
        <v>28297</v>
      </c>
      <c r="G291" s="3">
        <f t="shared" si="7"/>
        <v>1977</v>
      </c>
      <c r="H291" s="2" t="s">
        <v>23</v>
      </c>
      <c r="I291" s="3" t="str">
        <f t="shared" si="8"/>
        <v>Married</v>
      </c>
      <c r="J291" s="2" t="s">
        <v>35</v>
      </c>
      <c r="K291" s="3" t="str">
        <f t="shared" si="9"/>
        <v>Female</v>
      </c>
      <c r="L291" s="2" t="s">
        <v>696</v>
      </c>
      <c r="M291" s="3" t="str">
        <f t="shared" si="10"/>
        <v>nicole42</v>
      </c>
      <c r="N291" s="4">
        <v>40000</v>
      </c>
      <c r="O291" s="6" t="str">
        <f t="shared" si="11"/>
        <v>Poor</v>
      </c>
      <c r="P291" s="2">
        <v>0</v>
      </c>
      <c r="Q291" s="2" t="s">
        <v>86</v>
      </c>
      <c r="R291" s="2" t="s">
        <v>82</v>
      </c>
      <c r="S291" s="2" t="s">
        <v>31</v>
      </c>
    </row>
    <row r="292" spans="1:19" ht="14.25" customHeight="1" x14ac:dyDescent="0.2">
      <c r="A292" s="2">
        <v>11142</v>
      </c>
      <c r="B292" s="2" t="s">
        <v>19</v>
      </c>
      <c r="C292" s="2" t="s">
        <v>209</v>
      </c>
      <c r="D292" s="2" t="s">
        <v>114</v>
      </c>
      <c r="E292" s="3" t="str">
        <f t="shared" si="6"/>
        <v>MR. EDUARDO PATTERSON</v>
      </c>
      <c r="F292" s="7">
        <v>28351</v>
      </c>
      <c r="G292" s="3">
        <f t="shared" si="7"/>
        <v>1977</v>
      </c>
      <c r="H292" s="2" t="s">
        <v>22</v>
      </c>
      <c r="I292" s="3" t="str">
        <f t="shared" si="8"/>
        <v>Single</v>
      </c>
      <c r="J292" s="2" t="s">
        <v>23</v>
      </c>
      <c r="K292" s="3" t="str">
        <f t="shared" si="9"/>
        <v>Male</v>
      </c>
      <c r="L292" s="2" t="s">
        <v>697</v>
      </c>
      <c r="M292" s="3" t="str">
        <f t="shared" si="10"/>
        <v>eduardo55</v>
      </c>
      <c r="N292" s="4">
        <v>40000</v>
      </c>
      <c r="O292" s="6" t="str">
        <f t="shared" si="11"/>
        <v>Poor</v>
      </c>
      <c r="P292" s="2">
        <v>0</v>
      </c>
      <c r="Q292" s="2" t="s">
        <v>86</v>
      </c>
      <c r="R292" s="2" t="s">
        <v>82</v>
      </c>
      <c r="S292" s="2" t="s">
        <v>31</v>
      </c>
    </row>
    <row r="293" spans="1:19" ht="14.25" customHeight="1" x14ac:dyDescent="0.2">
      <c r="A293" s="2">
        <v>11143</v>
      </c>
      <c r="B293" s="2" t="s">
        <v>19</v>
      </c>
      <c r="C293" s="2" t="s">
        <v>165</v>
      </c>
      <c r="D293" s="2" t="s">
        <v>548</v>
      </c>
      <c r="E293" s="3" t="str">
        <f t="shared" si="6"/>
        <v>MR. JONATHAN HENDERSON</v>
      </c>
      <c r="F293" s="7">
        <v>28160</v>
      </c>
      <c r="G293" s="3">
        <f t="shared" si="7"/>
        <v>1977</v>
      </c>
      <c r="H293" s="2" t="s">
        <v>23</v>
      </c>
      <c r="I293" s="3" t="str">
        <f t="shared" si="8"/>
        <v>Married</v>
      </c>
      <c r="J293" s="2" t="s">
        <v>23</v>
      </c>
      <c r="K293" s="3" t="str">
        <f t="shared" si="9"/>
        <v>Male</v>
      </c>
      <c r="L293" s="2" t="s">
        <v>698</v>
      </c>
      <c r="M293" s="3" t="str">
        <f t="shared" si="10"/>
        <v>jonathan4</v>
      </c>
      <c r="N293" s="4">
        <v>40000</v>
      </c>
      <c r="O293" s="6" t="str">
        <f t="shared" si="11"/>
        <v>Poor</v>
      </c>
      <c r="P293" s="2">
        <v>0</v>
      </c>
      <c r="Q293" s="2" t="s">
        <v>86</v>
      </c>
      <c r="R293" s="2" t="s">
        <v>82</v>
      </c>
      <c r="S293" s="2" t="s">
        <v>27</v>
      </c>
    </row>
    <row r="294" spans="1:19" ht="14.25" customHeight="1" x14ac:dyDescent="0.2">
      <c r="A294" s="2">
        <v>11144</v>
      </c>
      <c r="B294" s="2" t="s">
        <v>19</v>
      </c>
      <c r="C294" s="2" t="s">
        <v>699</v>
      </c>
      <c r="D294" s="2" t="s">
        <v>34</v>
      </c>
      <c r="E294" s="3" t="str">
        <f t="shared" si="6"/>
        <v>MR. EDWARD HERNANDEZ</v>
      </c>
      <c r="F294" s="7">
        <v>29107</v>
      </c>
      <c r="G294" s="3">
        <f t="shared" si="7"/>
        <v>1979</v>
      </c>
      <c r="H294" s="2" t="s">
        <v>22</v>
      </c>
      <c r="I294" s="3" t="str">
        <f t="shared" si="8"/>
        <v>Single</v>
      </c>
      <c r="J294" s="2" t="s">
        <v>23</v>
      </c>
      <c r="K294" s="3" t="str">
        <f t="shared" si="9"/>
        <v>Male</v>
      </c>
      <c r="L294" s="2" t="s">
        <v>700</v>
      </c>
      <c r="M294" s="3" t="str">
        <f t="shared" si="10"/>
        <v>edward48</v>
      </c>
      <c r="N294" s="4">
        <v>40000</v>
      </c>
      <c r="O294" s="6" t="str">
        <f t="shared" si="11"/>
        <v>Poor</v>
      </c>
      <c r="P294" s="2">
        <v>0</v>
      </c>
      <c r="Q294" s="2" t="s">
        <v>86</v>
      </c>
      <c r="R294" s="2" t="s">
        <v>82</v>
      </c>
      <c r="S294" s="2" t="s">
        <v>31</v>
      </c>
    </row>
    <row r="295" spans="1:19" ht="14.25" customHeight="1" x14ac:dyDescent="0.2">
      <c r="A295" s="2">
        <v>11145</v>
      </c>
      <c r="B295" s="2" t="s">
        <v>43</v>
      </c>
      <c r="C295" s="2" t="s">
        <v>686</v>
      </c>
      <c r="D295" s="2" t="s">
        <v>701</v>
      </c>
      <c r="E295" s="3" t="str">
        <f t="shared" si="6"/>
        <v>MS. JASMINE COLEMAN</v>
      </c>
      <c r="F295" s="7">
        <v>29197</v>
      </c>
      <c r="G295" s="3">
        <f t="shared" si="7"/>
        <v>1979</v>
      </c>
      <c r="H295" s="2" t="s">
        <v>22</v>
      </c>
      <c r="I295" s="3" t="str">
        <f t="shared" si="8"/>
        <v>Single</v>
      </c>
      <c r="J295" s="2" t="s">
        <v>35</v>
      </c>
      <c r="K295" s="3" t="str">
        <f t="shared" si="9"/>
        <v>Female</v>
      </c>
      <c r="L295" s="2" t="s">
        <v>702</v>
      </c>
      <c r="M295" s="3" t="str">
        <f t="shared" si="10"/>
        <v>jasmine46</v>
      </c>
      <c r="N295" s="4">
        <v>40000</v>
      </c>
      <c r="O295" s="6" t="str">
        <f t="shared" si="11"/>
        <v>Poor</v>
      </c>
      <c r="P295" s="2">
        <v>0</v>
      </c>
      <c r="Q295" s="2" t="s">
        <v>86</v>
      </c>
      <c r="R295" s="2" t="s">
        <v>82</v>
      </c>
      <c r="S295" s="2" t="s">
        <v>31</v>
      </c>
    </row>
    <row r="296" spans="1:19" ht="14.25" customHeight="1" x14ac:dyDescent="0.2">
      <c r="A296" s="2">
        <v>11146</v>
      </c>
      <c r="B296" s="2" t="s">
        <v>32</v>
      </c>
      <c r="C296" s="2" t="s">
        <v>703</v>
      </c>
      <c r="D296" s="2" t="s">
        <v>247</v>
      </c>
      <c r="E296" s="3" t="str">
        <f t="shared" si="6"/>
        <v>MRS. KARLA GOEL</v>
      </c>
      <c r="F296" s="7">
        <v>14483</v>
      </c>
      <c r="G296" s="3">
        <f t="shared" si="7"/>
        <v>1939</v>
      </c>
      <c r="H296" s="2" t="s">
        <v>22</v>
      </c>
      <c r="I296" s="3" t="str">
        <f t="shared" si="8"/>
        <v>Single</v>
      </c>
      <c r="J296" s="2" t="s">
        <v>35</v>
      </c>
      <c r="K296" s="3" t="str">
        <f t="shared" si="9"/>
        <v>Female</v>
      </c>
      <c r="L296" s="2" t="s">
        <v>704</v>
      </c>
      <c r="M296" s="3" t="str">
        <f t="shared" si="10"/>
        <v>karla20</v>
      </c>
      <c r="N296" s="4">
        <v>40000</v>
      </c>
      <c r="O296" s="6" t="str">
        <f t="shared" si="11"/>
        <v>Poor</v>
      </c>
      <c r="P296" s="2">
        <v>2</v>
      </c>
      <c r="Q296" s="2" t="s">
        <v>47</v>
      </c>
      <c r="R296" s="2" t="s">
        <v>26</v>
      </c>
      <c r="S296" s="2" t="s">
        <v>27</v>
      </c>
    </row>
    <row r="297" spans="1:19" ht="14.25" customHeight="1" x14ac:dyDescent="0.2">
      <c r="A297" s="2">
        <v>11147</v>
      </c>
      <c r="B297" s="2" t="s">
        <v>19</v>
      </c>
      <c r="C297" s="2" t="s">
        <v>705</v>
      </c>
      <c r="D297" s="2" t="s">
        <v>333</v>
      </c>
      <c r="E297" s="3" t="str">
        <f t="shared" si="6"/>
        <v>MR. ERNEST WU</v>
      </c>
      <c r="F297" s="7">
        <v>14281</v>
      </c>
      <c r="G297" s="3">
        <f t="shared" si="7"/>
        <v>1939</v>
      </c>
      <c r="H297" s="2" t="s">
        <v>23</v>
      </c>
      <c r="I297" s="3" t="str">
        <f t="shared" si="8"/>
        <v>Married</v>
      </c>
      <c r="J297" s="2" t="s">
        <v>23</v>
      </c>
      <c r="K297" s="3" t="str">
        <f t="shared" si="9"/>
        <v>Male</v>
      </c>
      <c r="L297" s="2" t="s">
        <v>706</v>
      </c>
      <c r="M297" s="3" t="str">
        <f t="shared" si="10"/>
        <v>ernest6</v>
      </c>
      <c r="N297" s="4">
        <v>60000</v>
      </c>
      <c r="O297" s="6" t="str">
        <f t="shared" si="11"/>
        <v>Average</v>
      </c>
      <c r="P297" s="2">
        <v>2</v>
      </c>
      <c r="Q297" s="2" t="s">
        <v>25</v>
      </c>
      <c r="R297" s="2" t="s">
        <v>26</v>
      </c>
      <c r="S297" s="2" t="s">
        <v>27</v>
      </c>
    </row>
    <row r="298" spans="1:19" ht="14.25" customHeight="1" x14ac:dyDescent="0.2">
      <c r="A298" s="2">
        <v>11148</v>
      </c>
      <c r="B298" s="2" t="s">
        <v>19</v>
      </c>
      <c r="C298" s="2" t="s">
        <v>613</v>
      </c>
      <c r="D298" s="2" t="s">
        <v>169</v>
      </c>
      <c r="E298" s="3" t="str">
        <f t="shared" si="6"/>
        <v>MR. ROSS VAZQUEZ</v>
      </c>
      <c r="F298" s="7">
        <v>15204</v>
      </c>
      <c r="G298" s="3">
        <f t="shared" si="7"/>
        <v>1941</v>
      </c>
      <c r="H298" s="2" t="s">
        <v>23</v>
      </c>
      <c r="I298" s="3" t="str">
        <f t="shared" si="8"/>
        <v>Married</v>
      </c>
      <c r="J298" s="2" t="s">
        <v>23</v>
      </c>
      <c r="K298" s="3" t="str">
        <f t="shared" si="9"/>
        <v>Male</v>
      </c>
      <c r="L298" s="2" t="s">
        <v>707</v>
      </c>
      <c r="M298" s="3" t="str">
        <f t="shared" si="10"/>
        <v>ross32</v>
      </c>
      <c r="N298" s="4">
        <v>40000</v>
      </c>
      <c r="O298" s="6" t="str">
        <f t="shared" si="11"/>
        <v>Poor</v>
      </c>
      <c r="P298" s="2">
        <v>2</v>
      </c>
      <c r="Q298" s="2" t="s">
        <v>47</v>
      </c>
      <c r="R298" s="2" t="s">
        <v>26</v>
      </c>
      <c r="S298" s="2" t="s">
        <v>27</v>
      </c>
    </row>
    <row r="299" spans="1:19" ht="14.25" customHeight="1" x14ac:dyDescent="0.2">
      <c r="A299" s="2">
        <v>11149</v>
      </c>
      <c r="B299" s="2" t="s">
        <v>19</v>
      </c>
      <c r="C299" s="2" t="s">
        <v>708</v>
      </c>
      <c r="D299" s="2" t="s">
        <v>709</v>
      </c>
      <c r="E299" s="3" t="str">
        <f t="shared" si="6"/>
        <v>MR. THEODORE GILL</v>
      </c>
      <c r="F299" s="7">
        <v>15086</v>
      </c>
      <c r="G299" s="3">
        <f t="shared" si="7"/>
        <v>1941</v>
      </c>
      <c r="H299" s="2" t="s">
        <v>23</v>
      </c>
      <c r="I299" s="3" t="str">
        <f t="shared" si="8"/>
        <v>Married</v>
      </c>
      <c r="J299" s="2" t="s">
        <v>23</v>
      </c>
      <c r="K299" s="3" t="str">
        <f t="shared" si="9"/>
        <v>Male</v>
      </c>
      <c r="L299" s="2" t="s">
        <v>710</v>
      </c>
      <c r="M299" s="3" t="str">
        <f t="shared" si="10"/>
        <v>theodore14</v>
      </c>
      <c r="N299" s="4">
        <v>40000</v>
      </c>
      <c r="O299" s="6" t="str">
        <f t="shared" si="11"/>
        <v>Poor</v>
      </c>
      <c r="P299" s="2">
        <v>2</v>
      </c>
      <c r="Q299" s="2" t="s">
        <v>47</v>
      </c>
      <c r="R299" s="2" t="s">
        <v>26</v>
      </c>
      <c r="S299" s="2" t="s">
        <v>27</v>
      </c>
    </row>
    <row r="300" spans="1:19" ht="14.25" customHeight="1" x14ac:dyDescent="0.2">
      <c r="A300" s="2">
        <v>11150</v>
      </c>
      <c r="B300" s="2" t="s">
        <v>19</v>
      </c>
      <c r="C300" s="2" t="s">
        <v>298</v>
      </c>
      <c r="D300" s="2" t="s">
        <v>711</v>
      </c>
      <c r="E300" s="3" t="str">
        <f t="shared" si="6"/>
        <v>MR. RUSSELL SHEN</v>
      </c>
      <c r="F300" s="7">
        <v>15050</v>
      </c>
      <c r="G300" s="3">
        <f t="shared" si="7"/>
        <v>1941</v>
      </c>
      <c r="H300" s="2" t="s">
        <v>22</v>
      </c>
      <c r="I300" s="3" t="str">
        <f t="shared" si="8"/>
        <v>Single</v>
      </c>
      <c r="J300" s="2" t="s">
        <v>23</v>
      </c>
      <c r="K300" s="3" t="str">
        <f t="shared" si="9"/>
        <v>Male</v>
      </c>
      <c r="L300" s="2" t="s">
        <v>712</v>
      </c>
      <c r="M300" s="3" t="str">
        <f t="shared" si="10"/>
        <v>russell6</v>
      </c>
      <c r="N300" s="4">
        <v>40000</v>
      </c>
      <c r="O300" s="6" t="str">
        <f t="shared" si="11"/>
        <v>Poor</v>
      </c>
      <c r="P300" s="2">
        <v>2</v>
      </c>
      <c r="Q300" s="2" t="s">
        <v>47</v>
      </c>
      <c r="R300" s="2" t="s">
        <v>26</v>
      </c>
      <c r="S300" s="2" t="s">
        <v>27</v>
      </c>
    </row>
    <row r="301" spans="1:19" ht="14.25" customHeight="1" x14ac:dyDescent="0.2">
      <c r="A301" s="2">
        <v>11151</v>
      </c>
      <c r="B301" s="2" t="s">
        <v>32</v>
      </c>
      <c r="C301" s="2" t="s">
        <v>713</v>
      </c>
      <c r="D301" s="2" t="s">
        <v>709</v>
      </c>
      <c r="E301" s="3" t="str">
        <f t="shared" si="6"/>
        <v>MRS. MELINDA GILL</v>
      </c>
      <c r="F301" s="7">
        <v>15397</v>
      </c>
      <c r="G301" s="3">
        <f t="shared" si="7"/>
        <v>1942</v>
      </c>
      <c r="H301" s="2" t="s">
        <v>22</v>
      </c>
      <c r="I301" s="3" t="str">
        <f t="shared" si="8"/>
        <v>Single</v>
      </c>
      <c r="J301" s="2" t="s">
        <v>35</v>
      </c>
      <c r="K301" s="3" t="str">
        <f t="shared" si="9"/>
        <v>Female</v>
      </c>
      <c r="L301" s="2" t="s">
        <v>714</v>
      </c>
      <c r="M301" s="3" t="str">
        <f t="shared" si="10"/>
        <v>melinda9</v>
      </c>
      <c r="N301" s="4">
        <v>60000</v>
      </c>
      <c r="O301" s="6" t="str">
        <f t="shared" si="11"/>
        <v>Average</v>
      </c>
      <c r="P301" s="2">
        <v>2</v>
      </c>
      <c r="Q301" s="2" t="s">
        <v>25</v>
      </c>
      <c r="R301" s="2" t="s">
        <v>26</v>
      </c>
      <c r="S301" s="2" t="s">
        <v>31</v>
      </c>
    </row>
    <row r="302" spans="1:19" ht="14.25" customHeight="1" x14ac:dyDescent="0.2">
      <c r="A302" s="2">
        <v>11152</v>
      </c>
      <c r="B302" s="2" t="s">
        <v>19</v>
      </c>
      <c r="C302" s="2" t="s">
        <v>69</v>
      </c>
      <c r="D302" s="2" t="s">
        <v>210</v>
      </c>
      <c r="E302" s="3" t="str">
        <f t="shared" si="6"/>
        <v>MR. JAMES WILLIAMS</v>
      </c>
      <c r="F302" s="7">
        <v>27769</v>
      </c>
      <c r="G302" s="3">
        <f t="shared" si="7"/>
        <v>1976</v>
      </c>
      <c r="H302" s="2" t="s">
        <v>22</v>
      </c>
      <c r="I302" s="3" t="str">
        <f t="shared" si="8"/>
        <v>Single</v>
      </c>
      <c r="J302" s="2" t="s">
        <v>23</v>
      </c>
      <c r="K302" s="3" t="str">
        <f t="shared" si="9"/>
        <v>Male</v>
      </c>
      <c r="L302" s="2" t="s">
        <v>715</v>
      </c>
      <c r="M302" s="3" t="str">
        <f t="shared" si="10"/>
        <v>james77</v>
      </c>
      <c r="N302" s="4">
        <v>40000</v>
      </c>
      <c r="O302" s="6" t="str">
        <f t="shared" si="11"/>
        <v>Poor</v>
      </c>
      <c r="P302" s="2">
        <v>0</v>
      </c>
      <c r="Q302" s="2" t="s">
        <v>86</v>
      </c>
      <c r="R302" s="2" t="s">
        <v>82</v>
      </c>
      <c r="S302" s="2" t="s">
        <v>27</v>
      </c>
    </row>
    <row r="303" spans="1:19" ht="14.25" customHeight="1" x14ac:dyDescent="0.2">
      <c r="A303" s="2">
        <v>11153</v>
      </c>
      <c r="B303" s="2" t="s">
        <v>43</v>
      </c>
      <c r="C303" s="2" t="s">
        <v>543</v>
      </c>
      <c r="D303" s="2" t="s">
        <v>69</v>
      </c>
      <c r="E303" s="3" t="str">
        <f t="shared" si="6"/>
        <v>MS. ANGELA JAMES</v>
      </c>
      <c r="F303" s="7">
        <v>27934</v>
      </c>
      <c r="G303" s="3">
        <f t="shared" si="7"/>
        <v>1976</v>
      </c>
      <c r="H303" s="2" t="s">
        <v>23</v>
      </c>
      <c r="I303" s="3" t="str">
        <f t="shared" si="8"/>
        <v>Married</v>
      </c>
      <c r="J303" s="2" t="s">
        <v>35</v>
      </c>
      <c r="K303" s="3" t="str">
        <f t="shared" si="9"/>
        <v>Female</v>
      </c>
      <c r="L303" s="2" t="s">
        <v>716</v>
      </c>
      <c r="M303" s="3" t="str">
        <f t="shared" si="10"/>
        <v>angela34</v>
      </c>
      <c r="N303" s="4">
        <v>40000</v>
      </c>
      <c r="O303" s="6" t="str">
        <f t="shared" si="11"/>
        <v>Poor</v>
      </c>
      <c r="P303" s="2">
        <v>0</v>
      </c>
      <c r="Q303" s="2" t="s">
        <v>86</v>
      </c>
      <c r="R303" s="2" t="s">
        <v>82</v>
      </c>
      <c r="S303" s="2" t="s">
        <v>27</v>
      </c>
    </row>
    <row r="304" spans="1:19" ht="14.25" customHeight="1" x14ac:dyDescent="0.2">
      <c r="A304" s="2">
        <v>11154</v>
      </c>
      <c r="B304" s="2" t="s">
        <v>43</v>
      </c>
      <c r="C304" s="2" t="s">
        <v>277</v>
      </c>
      <c r="D304" s="2" t="s">
        <v>231</v>
      </c>
      <c r="E304" s="3" t="str">
        <f t="shared" si="6"/>
        <v>MS. MEGAN WALKER</v>
      </c>
      <c r="F304" s="7">
        <v>27993</v>
      </c>
      <c r="G304" s="3">
        <f t="shared" si="7"/>
        <v>1976</v>
      </c>
      <c r="H304" s="2" t="s">
        <v>22</v>
      </c>
      <c r="I304" s="3" t="str">
        <f t="shared" si="8"/>
        <v>Single</v>
      </c>
      <c r="J304" s="2" t="s">
        <v>35</v>
      </c>
      <c r="K304" s="3" t="str">
        <f t="shared" si="9"/>
        <v>Female</v>
      </c>
      <c r="L304" s="2" t="s">
        <v>717</v>
      </c>
      <c r="M304" s="3" t="str">
        <f t="shared" si="10"/>
        <v>megan25</v>
      </c>
      <c r="N304" s="4">
        <v>40000</v>
      </c>
      <c r="O304" s="6" t="str">
        <f t="shared" si="11"/>
        <v>Poor</v>
      </c>
      <c r="P304" s="2">
        <v>0</v>
      </c>
      <c r="Q304" s="2" t="s">
        <v>81</v>
      </c>
      <c r="R304" s="2" t="s">
        <v>82</v>
      </c>
      <c r="S304" s="2" t="s">
        <v>27</v>
      </c>
    </row>
    <row r="305" spans="1:19" ht="14.25" customHeight="1" x14ac:dyDescent="0.2">
      <c r="A305" s="2">
        <v>11155</v>
      </c>
      <c r="B305" s="2" t="s">
        <v>19</v>
      </c>
      <c r="C305" s="2" t="s">
        <v>125</v>
      </c>
      <c r="D305" s="2" t="s">
        <v>718</v>
      </c>
      <c r="E305" s="3" t="str">
        <f t="shared" si="6"/>
        <v>MR. HUNTER ROBINSON</v>
      </c>
      <c r="F305" s="7">
        <v>27785</v>
      </c>
      <c r="G305" s="3">
        <f t="shared" si="7"/>
        <v>1976</v>
      </c>
      <c r="H305" s="2" t="s">
        <v>22</v>
      </c>
      <c r="I305" s="3" t="str">
        <f t="shared" si="8"/>
        <v>Single</v>
      </c>
      <c r="J305" s="2" t="s">
        <v>23</v>
      </c>
      <c r="K305" s="3" t="str">
        <f t="shared" si="9"/>
        <v>Male</v>
      </c>
      <c r="L305" s="2" t="s">
        <v>719</v>
      </c>
      <c r="M305" s="3" t="str">
        <f t="shared" si="10"/>
        <v>hunter50</v>
      </c>
      <c r="N305" s="4">
        <v>40000</v>
      </c>
      <c r="O305" s="6" t="str">
        <f t="shared" si="11"/>
        <v>Poor</v>
      </c>
      <c r="P305" s="2">
        <v>0</v>
      </c>
      <c r="Q305" s="2" t="s">
        <v>81</v>
      </c>
      <c r="R305" s="2" t="s">
        <v>82</v>
      </c>
      <c r="S305" s="2" t="s">
        <v>31</v>
      </c>
    </row>
    <row r="306" spans="1:19" ht="14.25" customHeight="1" x14ac:dyDescent="0.2">
      <c r="A306" s="2">
        <v>11156</v>
      </c>
      <c r="B306" s="2" t="s">
        <v>43</v>
      </c>
      <c r="C306" s="2" t="s">
        <v>720</v>
      </c>
      <c r="D306" s="2" t="s">
        <v>721</v>
      </c>
      <c r="E306" s="3" t="str">
        <f t="shared" si="6"/>
        <v>MS. MARIA ROBERTS</v>
      </c>
      <c r="F306" s="7">
        <v>27797</v>
      </c>
      <c r="G306" s="3">
        <f t="shared" si="7"/>
        <v>1976</v>
      </c>
      <c r="H306" s="2" t="s">
        <v>22</v>
      </c>
      <c r="I306" s="3" t="str">
        <f t="shared" si="8"/>
        <v>Single</v>
      </c>
      <c r="J306" s="2" t="s">
        <v>35</v>
      </c>
      <c r="K306" s="3" t="str">
        <f t="shared" si="9"/>
        <v>Female</v>
      </c>
      <c r="L306" s="2" t="s">
        <v>722</v>
      </c>
      <c r="M306" s="3" t="str">
        <f t="shared" si="10"/>
        <v>maria47</v>
      </c>
      <c r="N306" s="4">
        <v>40000</v>
      </c>
      <c r="O306" s="6" t="str">
        <f t="shared" si="11"/>
        <v>Poor</v>
      </c>
      <c r="P306" s="2">
        <v>0</v>
      </c>
      <c r="Q306" s="2" t="s">
        <v>81</v>
      </c>
      <c r="R306" s="2" t="s">
        <v>82</v>
      </c>
      <c r="S306" s="2" t="s">
        <v>31</v>
      </c>
    </row>
    <row r="307" spans="1:19" ht="14.25" customHeight="1" x14ac:dyDescent="0.2">
      <c r="A307" s="2">
        <v>11157</v>
      </c>
      <c r="B307" s="2" t="s">
        <v>43</v>
      </c>
      <c r="C307" s="2" t="s">
        <v>325</v>
      </c>
      <c r="D307" s="2" t="s">
        <v>667</v>
      </c>
      <c r="E307" s="3" t="str">
        <f t="shared" si="6"/>
        <v>MS. HANNAH LONG</v>
      </c>
      <c r="F307" s="7">
        <v>27556</v>
      </c>
      <c r="G307" s="3">
        <f t="shared" si="7"/>
        <v>1975</v>
      </c>
      <c r="H307" s="2" t="s">
        <v>23</v>
      </c>
      <c r="I307" s="3" t="str">
        <f t="shared" si="8"/>
        <v>Married</v>
      </c>
      <c r="J307" s="2" t="s">
        <v>35</v>
      </c>
      <c r="K307" s="3" t="str">
        <f t="shared" si="9"/>
        <v>Female</v>
      </c>
      <c r="L307" s="2" t="s">
        <v>723</v>
      </c>
      <c r="M307" s="3" t="str">
        <f t="shared" si="10"/>
        <v>hannah32</v>
      </c>
      <c r="N307" s="4">
        <v>40000</v>
      </c>
      <c r="O307" s="6" t="str">
        <f t="shared" si="11"/>
        <v>Poor</v>
      </c>
      <c r="P307" s="2">
        <v>0</v>
      </c>
      <c r="Q307" s="2" t="s">
        <v>86</v>
      </c>
      <c r="R307" s="2" t="s">
        <v>82</v>
      </c>
      <c r="S307" s="2" t="s">
        <v>27</v>
      </c>
    </row>
    <row r="308" spans="1:19" ht="14.25" customHeight="1" x14ac:dyDescent="0.2">
      <c r="A308" s="2">
        <v>11158</v>
      </c>
      <c r="B308" s="2" t="s">
        <v>19</v>
      </c>
      <c r="C308" s="2" t="s">
        <v>724</v>
      </c>
      <c r="D308" s="2" t="s">
        <v>669</v>
      </c>
      <c r="E308" s="3" t="str">
        <f t="shared" si="6"/>
        <v>MR. JASON WRIGHT</v>
      </c>
      <c r="F308" s="7">
        <v>27675</v>
      </c>
      <c r="G308" s="3">
        <f t="shared" si="7"/>
        <v>1975</v>
      </c>
      <c r="H308" s="2" t="s">
        <v>22</v>
      </c>
      <c r="I308" s="3" t="str">
        <f t="shared" si="8"/>
        <v>Single</v>
      </c>
      <c r="J308" s="2" t="s">
        <v>23</v>
      </c>
      <c r="K308" s="3" t="str">
        <f t="shared" si="9"/>
        <v>Male</v>
      </c>
      <c r="L308" s="2" t="s">
        <v>725</v>
      </c>
      <c r="M308" s="3" t="str">
        <f t="shared" si="10"/>
        <v>jason46</v>
      </c>
      <c r="N308" s="4">
        <v>40000</v>
      </c>
      <c r="O308" s="6" t="str">
        <f t="shared" si="11"/>
        <v>Poor</v>
      </c>
      <c r="P308" s="2">
        <v>0</v>
      </c>
      <c r="Q308" s="2" t="s">
        <v>86</v>
      </c>
      <c r="R308" s="2" t="s">
        <v>82</v>
      </c>
      <c r="S308" s="2" t="s">
        <v>27</v>
      </c>
    </row>
    <row r="309" spans="1:19" ht="14.25" customHeight="1" x14ac:dyDescent="0.2">
      <c r="A309" s="2">
        <v>11159</v>
      </c>
      <c r="B309" s="2" t="s">
        <v>43</v>
      </c>
      <c r="C309" s="2" t="s">
        <v>684</v>
      </c>
      <c r="D309" s="2" t="s">
        <v>238</v>
      </c>
      <c r="E309" s="3" t="str">
        <f t="shared" si="6"/>
        <v>MS. BRIANNA HUGHES</v>
      </c>
      <c r="F309" s="7">
        <v>27654</v>
      </c>
      <c r="G309" s="3">
        <f t="shared" si="7"/>
        <v>1975</v>
      </c>
      <c r="H309" s="2" t="s">
        <v>22</v>
      </c>
      <c r="I309" s="3" t="str">
        <f t="shared" si="8"/>
        <v>Single</v>
      </c>
      <c r="J309" s="2" t="s">
        <v>35</v>
      </c>
      <c r="K309" s="3" t="str">
        <f t="shared" si="9"/>
        <v>Female</v>
      </c>
      <c r="L309" s="2" t="s">
        <v>726</v>
      </c>
      <c r="M309" s="3" t="str">
        <f t="shared" si="10"/>
        <v>brianna57</v>
      </c>
      <c r="N309" s="4">
        <v>40000</v>
      </c>
      <c r="O309" s="6" t="str">
        <f t="shared" si="11"/>
        <v>Poor</v>
      </c>
      <c r="P309" s="2">
        <v>0</v>
      </c>
      <c r="Q309" s="2" t="s">
        <v>86</v>
      </c>
      <c r="R309" s="2" t="s">
        <v>82</v>
      </c>
      <c r="S309" s="2" t="s">
        <v>31</v>
      </c>
    </row>
    <row r="310" spans="1:19" ht="14.25" customHeight="1" x14ac:dyDescent="0.2">
      <c r="A310" s="2">
        <v>11160</v>
      </c>
      <c r="B310" s="2" t="s">
        <v>19</v>
      </c>
      <c r="C310" s="2" t="s">
        <v>727</v>
      </c>
      <c r="D310" s="2" t="s">
        <v>282</v>
      </c>
      <c r="E310" s="3" t="str">
        <f t="shared" si="6"/>
        <v>MR. MAURICE TANG</v>
      </c>
      <c r="F310" s="7">
        <v>27037</v>
      </c>
      <c r="G310" s="3">
        <f t="shared" si="7"/>
        <v>1974</v>
      </c>
      <c r="H310" s="2" t="s">
        <v>22</v>
      </c>
      <c r="I310" s="3" t="str">
        <f t="shared" si="8"/>
        <v>Single</v>
      </c>
      <c r="J310" s="2" t="s">
        <v>23</v>
      </c>
      <c r="K310" s="3" t="str">
        <f t="shared" si="9"/>
        <v>Male</v>
      </c>
      <c r="L310" s="2" t="s">
        <v>728</v>
      </c>
      <c r="M310" s="3" t="str">
        <f t="shared" si="10"/>
        <v>maurice4</v>
      </c>
      <c r="N310" s="4">
        <v>40000</v>
      </c>
      <c r="O310" s="6" t="str">
        <f t="shared" si="11"/>
        <v>Poor</v>
      </c>
      <c r="P310" s="2">
        <v>0</v>
      </c>
      <c r="Q310" s="2" t="s">
        <v>81</v>
      </c>
      <c r="R310" s="2" t="s">
        <v>82</v>
      </c>
      <c r="S310" s="2" t="s">
        <v>31</v>
      </c>
    </row>
    <row r="311" spans="1:19" ht="14.25" customHeight="1" x14ac:dyDescent="0.2">
      <c r="A311" s="2">
        <v>11161</v>
      </c>
      <c r="B311" s="2" t="s">
        <v>43</v>
      </c>
      <c r="C311" s="2" t="s">
        <v>587</v>
      </c>
      <c r="D311" s="2" t="s">
        <v>729</v>
      </c>
      <c r="E311" s="3" t="str">
        <f t="shared" si="6"/>
        <v>MS. EMILY WOOD</v>
      </c>
      <c r="F311" s="7">
        <v>27141</v>
      </c>
      <c r="G311" s="3">
        <f t="shared" si="7"/>
        <v>1974</v>
      </c>
      <c r="H311" s="2" t="s">
        <v>22</v>
      </c>
      <c r="I311" s="3" t="str">
        <f t="shared" si="8"/>
        <v>Single</v>
      </c>
      <c r="J311" s="2" t="s">
        <v>35</v>
      </c>
      <c r="K311" s="3" t="str">
        <f t="shared" si="9"/>
        <v>Female</v>
      </c>
      <c r="L311" s="2" t="s">
        <v>730</v>
      </c>
      <c r="M311" s="3" t="str">
        <f t="shared" si="10"/>
        <v>emily27</v>
      </c>
      <c r="N311" s="4">
        <v>40000</v>
      </c>
      <c r="O311" s="6" t="str">
        <f t="shared" si="11"/>
        <v>Poor</v>
      </c>
      <c r="P311" s="2">
        <v>0</v>
      </c>
      <c r="Q311" s="2" t="s">
        <v>81</v>
      </c>
      <c r="R311" s="2" t="s">
        <v>82</v>
      </c>
      <c r="S311" s="2" t="s">
        <v>31</v>
      </c>
    </row>
    <row r="312" spans="1:19" ht="14.25" customHeight="1" x14ac:dyDescent="0.2">
      <c r="A312" s="2">
        <v>11162</v>
      </c>
      <c r="B312" s="2" t="s">
        <v>19</v>
      </c>
      <c r="C312" s="2" t="s">
        <v>545</v>
      </c>
      <c r="D312" s="2" t="s">
        <v>351</v>
      </c>
      <c r="E312" s="3" t="str">
        <f t="shared" si="6"/>
        <v>MR. CHASE COX</v>
      </c>
      <c r="F312" s="7">
        <v>27093</v>
      </c>
      <c r="G312" s="3">
        <f t="shared" si="7"/>
        <v>1974</v>
      </c>
      <c r="H312" s="2" t="s">
        <v>22</v>
      </c>
      <c r="I312" s="3" t="str">
        <f t="shared" si="8"/>
        <v>Single</v>
      </c>
      <c r="J312" s="2" t="s">
        <v>23</v>
      </c>
      <c r="K312" s="3" t="str">
        <f t="shared" si="9"/>
        <v>Male</v>
      </c>
      <c r="L312" s="2" t="s">
        <v>731</v>
      </c>
      <c r="M312" s="3" t="str">
        <f t="shared" si="10"/>
        <v>chase10</v>
      </c>
      <c r="N312" s="4">
        <v>40000</v>
      </c>
      <c r="O312" s="6" t="str">
        <f t="shared" si="11"/>
        <v>Poor</v>
      </c>
      <c r="P312" s="2">
        <v>0</v>
      </c>
      <c r="Q312" s="2" t="s">
        <v>81</v>
      </c>
      <c r="R312" s="2" t="s">
        <v>82</v>
      </c>
      <c r="S312" s="2" t="s">
        <v>27</v>
      </c>
    </row>
    <row r="313" spans="1:19" ht="14.25" customHeight="1" x14ac:dyDescent="0.2">
      <c r="A313" s="2">
        <v>11163</v>
      </c>
      <c r="B313" s="2" t="s">
        <v>19</v>
      </c>
      <c r="C313" s="2" t="s">
        <v>732</v>
      </c>
      <c r="D313" s="2" t="s">
        <v>175</v>
      </c>
      <c r="E313" s="3" t="str">
        <f t="shared" si="6"/>
        <v>MR. GABRIEL WANG</v>
      </c>
      <c r="F313" s="7">
        <v>27383</v>
      </c>
      <c r="G313" s="3">
        <f t="shared" si="7"/>
        <v>1974</v>
      </c>
      <c r="H313" s="2" t="s">
        <v>23</v>
      </c>
      <c r="I313" s="3" t="str">
        <f t="shared" si="8"/>
        <v>Married</v>
      </c>
      <c r="J313" s="2" t="s">
        <v>23</v>
      </c>
      <c r="K313" s="3" t="str">
        <f t="shared" si="9"/>
        <v>Male</v>
      </c>
      <c r="L313" s="2" t="s">
        <v>733</v>
      </c>
      <c r="M313" s="3" t="str">
        <f t="shared" si="10"/>
        <v>gabriel21</v>
      </c>
      <c r="N313" s="4">
        <v>40000</v>
      </c>
      <c r="O313" s="6" t="str">
        <f t="shared" si="11"/>
        <v>Poor</v>
      </c>
      <c r="P313" s="2">
        <v>0</v>
      </c>
      <c r="Q313" s="2" t="s">
        <v>81</v>
      </c>
      <c r="R313" s="2" t="s">
        <v>82</v>
      </c>
      <c r="S313" s="2" t="s">
        <v>27</v>
      </c>
    </row>
    <row r="314" spans="1:19" ht="14.25" customHeight="1" x14ac:dyDescent="0.2">
      <c r="A314" s="2">
        <v>11164</v>
      </c>
      <c r="B314" s="2" t="s">
        <v>19</v>
      </c>
      <c r="C314" s="2" t="s">
        <v>734</v>
      </c>
      <c r="D314" s="2" t="s">
        <v>735</v>
      </c>
      <c r="E314" s="3" t="str">
        <f t="shared" si="6"/>
        <v>MR. DEVIN BROOKS</v>
      </c>
      <c r="F314" s="7">
        <v>27154</v>
      </c>
      <c r="G314" s="3">
        <f t="shared" si="7"/>
        <v>1974</v>
      </c>
      <c r="H314" s="2" t="s">
        <v>22</v>
      </c>
      <c r="I314" s="3" t="str">
        <f t="shared" si="8"/>
        <v>Single</v>
      </c>
      <c r="J314" s="2" t="s">
        <v>23</v>
      </c>
      <c r="K314" s="3" t="str">
        <f t="shared" si="9"/>
        <v>Male</v>
      </c>
      <c r="L314" s="2" t="s">
        <v>736</v>
      </c>
      <c r="M314" s="3" t="str">
        <f t="shared" si="10"/>
        <v>devin63</v>
      </c>
      <c r="N314" s="4">
        <v>40000</v>
      </c>
      <c r="O314" s="6" t="str">
        <f t="shared" si="11"/>
        <v>Poor</v>
      </c>
      <c r="P314" s="2">
        <v>0</v>
      </c>
      <c r="Q314" s="2" t="s">
        <v>81</v>
      </c>
      <c r="R314" s="2" t="s">
        <v>82</v>
      </c>
      <c r="S314" s="2" t="s">
        <v>31</v>
      </c>
    </row>
    <row r="315" spans="1:19" ht="14.25" customHeight="1" x14ac:dyDescent="0.2">
      <c r="A315" s="2">
        <v>11165</v>
      </c>
      <c r="B315" s="2" t="s">
        <v>43</v>
      </c>
      <c r="C315" s="2" t="s">
        <v>737</v>
      </c>
      <c r="D315" s="2" t="s">
        <v>79</v>
      </c>
      <c r="E315" s="3" t="str">
        <f t="shared" si="6"/>
        <v>MS. JOCELYN ALEXANDER</v>
      </c>
      <c r="F315" s="7">
        <v>26863</v>
      </c>
      <c r="G315" s="3">
        <f t="shared" si="7"/>
        <v>1973</v>
      </c>
      <c r="H315" s="2" t="s">
        <v>23</v>
      </c>
      <c r="I315" s="3" t="str">
        <f t="shared" si="8"/>
        <v>Married</v>
      </c>
      <c r="J315" s="2" t="s">
        <v>35</v>
      </c>
      <c r="K315" s="3" t="str">
        <f t="shared" si="9"/>
        <v>Female</v>
      </c>
      <c r="L315" s="2" t="s">
        <v>738</v>
      </c>
      <c r="M315" s="3" t="str">
        <f t="shared" si="10"/>
        <v>jocelyn18</v>
      </c>
      <c r="N315" s="4">
        <v>60000</v>
      </c>
      <c r="O315" s="6" t="str">
        <f t="shared" si="11"/>
        <v>Average</v>
      </c>
      <c r="P315" s="2">
        <v>0</v>
      </c>
      <c r="Q315" s="2" t="s">
        <v>81</v>
      </c>
      <c r="R315" s="2" t="s">
        <v>82</v>
      </c>
      <c r="S315" s="2" t="s">
        <v>31</v>
      </c>
    </row>
    <row r="316" spans="1:19" ht="14.25" customHeight="1" x14ac:dyDescent="0.2">
      <c r="A316" s="2">
        <v>11166</v>
      </c>
      <c r="B316" s="2" t="s">
        <v>43</v>
      </c>
      <c r="C316" s="2" t="s">
        <v>739</v>
      </c>
      <c r="D316" s="2" t="s">
        <v>384</v>
      </c>
      <c r="E316" s="3" t="str">
        <f t="shared" si="6"/>
        <v>MS. ASHLEY MARTINEZ</v>
      </c>
      <c r="F316" s="7">
        <v>26413</v>
      </c>
      <c r="G316" s="3">
        <f t="shared" si="7"/>
        <v>1972</v>
      </c>
      <c r="H316" s="2" t="s">
        <v>22</v>
      </c>
      <c r="I316" s="3" t="str">
        <f t="shared" si="8"/>
        <v>Single</v>
      </c>
      <c r="J316" s="2" t="s">
        <v>35</v>
      </c>
      <c r="K316" s="3" t="str">
        <f t="shared" si="9"/>
        <v>Female</v>
      </c>
      <c r="L316" s="2" t="s">
        <v>740</v>
      </c>
      <c r="M316" s="3" t="str">
        <f t="shared" si="10"/>
        <v>ashley18</v>
      </c>
      <c r="N316" s="4">
        <v>70000</v>
      </c>
      <c r="O316" s="6" t="str">
        <f t="shared" si="11"/>
        <v>Average</v>
      </c>
      <c r="P316" s="2">
        <v>0</v>
      </c>
      <c r="Q316" s="2" t="s">
        <v>81</v>
      </c>
      <c r="R316" s="2" t="s">
        <v>82</v>
      </c>
      <c r="S316" s="2" t="s">
        <v>31</v>
      </c>
    </row>
    <row r="317" spans="1:19" ht="14.25" customHeight="1" x14ac:dyDescent="0.2">
      <c r="A317" s="2">
        <v>11167</v>
      </c>
      <c r="B317" s="2" t="s">
        <v>43</v>
      </c>
      <c r="C317" s="2" t="s">
        <v>686</v>
      </c>
      <c r="D317" s="2" t="s">
        <v>741</v>
      </c>
      <c r="E317" s="3" t="str">
        <f t="shared" si="6"/>
        <v>MS. JASMINE BARNES</v>
      </c>
      <c r="F317" s="7">
        <v>26512</v>
      </c>
      <c r="G317" s="3">
        <f t="shared" si="7"/>
        <v>1972</v>
      </c>
      <c r="H317" s="2" t="s">
        <v>22</v>
      </c>
      <c r="I317" s="3" t="str">
        <f t="shared" si="8"/>
        <v>Single</v>
      </c>
      <c r="J317" s="2" t="s">
        <v>35</v>
      </c>
      <c r="K317" s="3" t="str">
        <f t="shared" si="9"/>
        <v>Female</v>
      </c>
      <c r="L317" s="2" t="s">
        <v>742</v>
      </c>
      <c r="M317" s="3" t="str">
        <f t="shared" si="10"/>
        <v>jasmine43</v>
      </c>
      <c r="N317" s="4">
        <v>80000</v>
      </c>
      <c r="O317" s="6" t="str">
        <f t="shared" si="11"/>
        <v>Average</v>
      </c>
      <c r="P317" s="2">
        <v>0</v>
      </c>
      <c r="Q317" s="2" t="s">
        <v>47</v>
      </c>
      <c r="R317" s="2" t="s">
        <v>26</v>
      </c>
      <c r="S317" s="2" t="s">
        <v>31</v>
      </c>
    </row>
    <row r="318" spans="1:19" ht="14.25" customHeight="1" x14ac:dyDescent="0.2">
      <c r="A318" s="2">
        <v>11168</v>
      </c>
      <c r="B318" s="2" t="s">
        <v>19</v>
      </c>
      <c r="C318" s="2" t="s">
        <v>743</v>
      </c>
      <c r="D318" s="2" t="s">
        <v>166</v>
      </c>
      <c r="E318" s="3" t="str">
        <f t="shared" si="6"/>
        <v>MR. DAVID RODRIGUEZ</v>
      </c>
      <c r="F318" s="7">
        <v>24973</v>
      </c>
      <c r="G318" s="3">
        <f t="shared" si="7"/>
        <v>1968</v>
      </c>
      <c r="H318" s="2" t="s">
        <v>22</v>
      </c>
      <c r="I318" s="3" t="str">
        <f t="shared" si="8"/>
        <v>Single</v>
      </c>
      <c r="J318" s="2" t="s">
        <v>23</v>
      </c>
      <c r="K318" s="3" t="str">
        <f t="shared" si="9"/>
        <v>Male</v>
      </c>
      <c r="L318" s="2" t="s">
        <v>744</v>
      </c>
      <c r="M318" s="3" t="str">
        <f t="shared" si="10"/>
        <v>david83</v>
      </c>
      <c r="N318" s="4">
        <v>80000</v>
      </c>
      <c r="O318" s="6" t="str">
        <f t="shared" si="11"/>
        <v>Average</v>
      </c>
      <c r="P318" s="2">
        <v>0</v>
      </c>
      <c r="Q318" s="2" t="s">
        <v>47</v>
      </c>
      <c r="R318" s="2" t="s">
        <v>26</v>
      </c>
      <c r="S318" s="2" t="s">
        <v>31</v>
      </c>
    </row>
    <row r="319" spans="1:19" ht="14.25" customHeight="1" x14ac:dyDescent="0.2">
      <c r="A319" s="2">
        <v>11169</v>
      </c>
      <c r="B319" s="2" t="s">
        <v>19</v>
      </c>
      <c r="C319" s="2" t="s">
        <v>188</v>
      </c>
      <c r="D319" s="2" t="s">
        <v>676</v>
      </c>
      <c r="E319" s="3" t="str">
        <f t="shared" si="6"/>
        <v>MR. BRYCE RICHARDSON</v>
      </c>
      <c r="F319" s="7">
        <v>25011</v>
      </c>
      <c r="G319" s="3">
        <f t="shared" si="7"/>
        <v>1968</v>
      </c>
      <c r="H319" s="2" t="s">
        <v>23</v>
      </c>
      <c r="I319" s="3" t="str">
        <f t="shared" si="8"/>
        <v>Married</v>
      </c>
      <c r="J319" s="2" t="s">
        <v>23</v>
      </c>
      <c r="K319" s="3" t="str">
        <f t="shared" si="9"/>
        <v>Male</v>
      </c>
      <c r="L319" s="2" t="s">
        <v>745</v>
      </c>
      <c r="M319" s="3" t="str">
        <f t="shared" si="10"/>
        <v>bryce8</v>
      </c>
      <c r="N319" s="4">
        <v>90000</v>
      </c>
      <c r="O319" s="6" t="str">
        <f t="shared" si="11"/>
        <v>Average</v>
      </c>
      <c r="P319" s="2">
        <v>4</v>
      </c>
      <c r="Q319" s="2" t="s">
        <v>47</v>
      </c>
      <c r="R319" s="2" t="s">
        <v>26</v>
      </c>
      <c r="S319" s="2" t="s">
        <v>27</v>
      </c>
    </row>
    <row r="320" spans="1:19" ht="14.25" customHeight="1" x14ac:dyDescent="0.2">
      <c r="A320" s="2">
        <v>11170</v>
      </c>
      <c r="B320" s="2" t="s">
        <v>32</v>
      </c>
      <c r="C320" s="2" t="s">
        <v>517</v>
      </c>
      <c r="D320" s="2" t="s">
        <v>746</v>
      </c>
      <c r="E320" s="3" t="str">
        <f t="shared" si="6"/>
        <v>MRS. CAROL HOWARD</v>
      </c>
      <c r="F320" s="7">
        <v>24873</v>
      </c>
      <c r="G320" s="3">
        <f t="shared" si="7"/>
        <v>1968</v>
      </c>
      <c r="H320" s="2" t="s">
        <v>23</v>
      </c>
      <c r="I320" s="3" t="str">
        <f t="shared" si="8"/>
        <v>Married</v>
      </c>
      <c r="J320" s="2" t="s">
        <v>35</v>
      </c>
      <c r="K320" s="3" t="str">
        <f t="shared" si="9"/>
        <v>Female</v>
      </c>
      <c r="L320" s="2" t="s">
        <v>747</v>
      </c>
      <c r="M320" s="3" t="str">
        <f t="shared" si="10"/>
        <v>carol5</v>
      </c>
      <c r="N320" s="4">
        <v>90000</v>
      </c>
      <c r="O320" s="6" t="str">
        <f t="shared" si="11"/>
        <v>Average</v>
      </c>
      <c r="P320" s="2">
        <v>4</v>
      </c>
      <c r="Q320" s="2" t="s">
        <v>47</v>
      </c>
      <c r="R320" s="2" t="s">
        <v>26</v>
      </c>
      <c r="S320" s="2" t="s">
        <v>27</v>
      </c>
    </row>
    <row r="321" spans="1:19" ht="14.25" customHeight="1" x14ac:dyDescent="0.2">
      <c r="A321" s="2">
        <v>11171</v>
      </c>
      <c r="B321" s="2" t="s">
        <v>19</v>
      </c>
      <c r="C321" s="2" t="s">
        <v>165</v>
      </c>
      <c r="D321" s="2" t="s">
        <v>423</v>
      </c>
      <c r="E321" s="3" t="str">
        <f t="shared" si="6"/>
        <v>MR. JONATHAN HILL</v>
      </c>
      <c r="F321" s="7">
        <v>24754</v>
      </c>
      <c r="G321" s="3">
        <f t="shared" si="7"/>
        <v>1967</v>
      </c>
      <c r="H321" s="2" t="s">
        <v>22</v>
      </c>
      <c r="I321" s="3" t="str">
        <f t="shared" si="8"/>
        <v>Single</v>
      </c>
      <c r="J321" s="2" t="s">
        <v>23</v>
      </c>
      <c r="K321" s="3" t="str">
        <f t="shared" si="9"/>
        <v>Male</v>
      </c>
      <c r="L321" s="2" t="s">
        <v>748</v>
      </c>
      <c r="M321" s="3" t="str">
        <f t="shared" si="10"/>
        <v>jonathan43</v>
      </c>
      <c r="N321" s="4">
        <v>100000</v>
      </c>
      <c r="O321" s="6" t="str">
        <f t="shared" si="11"/>
        <v>Rich</v>
      </c>
      <c r="P321" s="2">
        <v>1</v>
      </c>
      <c r="Q321" s="2" t="s">
        <v>47</v>
      </c>
      <c r="R321" s="2" t="s">
        <v>26</v>
      </c>
      <c r="S321" s="2" t="s">
        <v>27</v>
      </c>
    </row>
    <row r="322" spans="1:19" ht="14.25" customHeight="1" x14ac:dyDescent="0.2">
      <c r="A322" s="2">
        <v>11172</v>
      </c>
      <c r="B322" s="2" t="s">
        <v>32</v>
      </c>
      <c r="C322" s="2" t="s">
        <v>420</v>
      </c>
      <c r="D322" s="2" t="s">
        <v>749</v>
      </c>
      <c r="E322" s="3" t="str">
        <f t="shared" si="6"/>
        <v>MRS. GABRIELLE ADAMS</v>
      </c>
      <c r="F322" s="7">
        <v>24797</v>
      </c>
      <c r="G322" s="3">
        <f t="shared" si="7"/>
        <v>1967</v>
      </c>
      <c r="H322" s="2" t="s">
        <v>23</v>
      </c>
      <c r="I322" s="3" t="str">
        <f t="shared" si="8"/>
        <v>Married</v>
      </c>
      <c r="J322" s="2" t="s">
        <v>35</v>
      </c>
      <c r="K322" s="3" t="str">
        <f t="shared" si="9"/>
        <v>Female</v>
      </c>
      <c r="L322" s="2" t="s">
        <v>750</v>
      </c>
      <c r="M322" s="3" t="str">
        <f t="shared" si="10"/>
        <v>gabrielle58</v>
      </c>
      <c r="N322" s="4">
        <v>100000</v>
      </c>
      <c r="O322" s="6" t="str">
        <f t="shared" si="11"/>
        <v>Rich</v>
      </c>
      <c r="P322" s="2">
        <v>1</v>
      </c>
      <c r="Q322" s="2" t="s">
        <v>47</v>
      </c>
      <c r="R322" s="2" t="s">
        <v>26</v>
      </c>
      <c r="S322" s="2" t="s">
        <v>27</v>
      </c>
    </row>
    <row r="323" spans="1:19" ht="14.25" customHeight="1" x14ac:dyDescent="0.2">
      <c r="A323" s="2">
        <v>11173</v>
      </c>
      <c r="B323" s="2" t="s">
        <v>43</v>
      </c>
      <c r="C323" s="2" t="s">
        <v>751</v>
      </c>
      <c r="D323" s="2" t="s">
        <v>230</v>
      </c>
      <c r="E323" s="3" t="str">
        <f t="shared" si="6"/>
        <v>MS. SARAH THOMAS</v>
      </c>
      <c r="F323" s="7">
        <v>24716</v>
      </c>
      <c r="G323" s="3">
        <f t="shared" si="7"/>
        <v>1967</v>
      </c>
      <c r="H323" s="2" t="s">
        <v>22</v>
      </c>
      <c r="I323" s="3" t="str">
        <f t="shared" si="8"/>
        <v>Single</v>
      </c>
      <c r="J323" s="2" t="s">
        <v>35</v>
      </c>
      <c r="K323" s="3" t="str">
        <f t="shared" si="9"/>
        <v>Female</v>
      </c>
      <c r="L323" s="2" t="s">
        <v>752</v>
      </c>
      <c r="M323" s="3" t="str">
        <f t="shared" si="10"/>
        <v>sarah13</v>
      </c>
      <c r="N323" s="4">
        <v>110000</v>
      </c>
      <c r="O323" s="6" t="str">
        <f t="shared" si="11"/>
        <v>Rich</v>
      </c>
      <c r="P323" s="2">
        <v>0</v>
      </c>
      <c r="Q323" s="2" t="s">
        <v>25</v>
      </c>
      <c r="R323" s="2" t="s">
        <v>26</v>
      </c>
      <c r="S323" s="2" t="s">
        <v>31</v>
      </c>
    </row>
    <row r="324" spans="1:19" ht="14.25" customHeight="1" x14ac:dyDescent="0.2">
      <c r="A324" s="2">
        <v>11174</v>
      </c>
      <c r="B324" s="2" t="s">
        <v>19</v>
      </c>
      <c r="C324" s="2" t="s">
        <v>753</v>
      </c>
      <c r="D324" s="2" t="s">
        <v>718</v>
      </c>
      <c r="E324" s="3" t="str">
        <f t="shared" si="6"/>
        <v>MR. NICHOLAS ROBINSON</v>
      </c>
      <c r="F324" s="7">
        <v>24666</v>
      </c>
      <c r="G324" s="3">
        <f t="shared" si="7"/>
        <v>1967</v>
      </c>
      <c r="H324" s="2" t="s">
        <v>23</v>
      </c>
      <c r="I324" s="3" t="str">
        <f t="shared" si="8"/>
        <v>Married</v>
      </c>
      <c r="J324" s="2" t="s">
        <v>23</v>
      </c>
      <c r="K324" s="3" t="str">
        <f t="shared" si="9"/>
        <v>Male</v>
      </c>
      <c r="L324" s="2" t="s">
        <v>754</v>
      </c>
      <c r="M324" s="3" t="str">
        <f t="shared" si="10"/>
        <v>nicholas19</v>
      </c>
      <c r="N324" s="4">
        <v>110000</v>
      </c>
      <c r="O324" s="6" t="str">
        <f t="shared" si="11"/>
        <v>Rich</v>
      </c>
      <c r="P324" s="2">
        <v>0</v>
      </c>
      <c r="Q324" s="2" t="s">
        <v>25</v>
      </c>
      <c r="R324" s="2" t="s">
        <v>26</v>
      </c>
      <c r="S324" s="2" t="s">
        <v>27</v>
      </c>
    </row>
    <row r="325" spans="1:19" ht="14.25" customHeight="1" x14ac:dyDescent="0.2">
      <c r="A325" s="2">
        <v>11175</v>
      </c>
      <c r="B325" s="2" t="s">
        <v>19</v>
      </c>
      <c r="C325" s="2" t="s">
        <v>267</v>
      </c>
      <c r="D325" s="2" t="s">
        <v>175</v>
      </c>
      <c r="E325" s="3" t="str">
        <f t="shared" si="6"/>
        <v>MR. LUIS WANG</v>
      </c>
      <c r="F325" s="7">
        <v>23075</v>
      </c>
      <c r="G325" s="3">
        <f t="shared" si="7"/>
        <v>1963</v>
      </c>
      <c r="H325" s="2" t="s">
        <v>22</v>
      </c>
      <c r="I325" s="3" t="str">
        <f t="shared" si="8"/>
        <v>Single</v>
      </c>
      <c r="J325" s="2" t="s">
        <v>23</v>
      </c>
      <c r="K325" s="3" t="str">
        <f t="shared" si="9"/>
        <v>Male</v>
      </c>
      <c r="L325" s="2" t="s">
        <v>755</v>
      </c>
      <c r="M325" s="3" t="str">
        <f t="shared" si="10"/>
        <v>luis24</v>
      </c>
      <c r="N325" s="4">
        <v>70000</v>
      </c>
      <c r="O325" s="6" t="str">
        <f t="shared" si="11"/>
        <v>Average</v>
      </c>
      <c r="P325" s="2">
        <v>0</v>
      </c>
      <c r="Q325" s="2" t="s">
        <v>81</v>
      </c>
      <c r="R325" s="2" t="s">
        <v>82</v>
      </c>
      <c r="S325" s="2" t="s">
        <v>27</v>
      </c>
    </row>
    <row r="326" spans="1:19" ht="14.25" customHeight="1" x14ac:dyDescent="0.2">
      <c r="A326" s="2">
        <v>11176</v>
      </c>
      <c r="B326" s="2" t="s">
        <v>19</v>
      </c>
      <c r="C326" s="2" t="s">
        <v>756</v>
      </c>
      <c r="D326" s="2" t="s">
        <v>721</v>
      </c>
      <c r="E326" s="3" t="str">
        <f t="shared" si="6"/>
        <v>MR. MASON ROBERTS</v>
      </c>
      <c r="F326" s="7">
        <v>24862</v>
      </c>
      <c r="G326" s="3">
        <f t="shared" si="7"/>
        <v>1968</v>
      </c>
      <c r="H326" s="2" t="s">
        <v>23</v>
      </c>
      <c r="I326" s="3" t="str">
        <f t="shared" si="8"/>
        <v>Married</v>
      </c>
      <c r="J326" s="2" t="s">
        <v>23</v>
      </c>
      <c r="K326" s="3" t="str">
        <f t="shared" si="9"/>
        <v>Male</v>
      </c>
      <c r="L326" s="2" t="s">
        <v>757</v>
      </c>
      <c r="M326" s="3" t="str">
        <f t="shared" si="10"/>
        <v>mason25</v>
      </c>
      <c r="N326" s="4">
        <v>90000</v>
      </c>
      <c r="O326" s="6" t="str">
        <f t="shared" si="11"/>
        <v>Average</v>
      </c>
      <c r="P326" s="2">
        <v>4</v>
      </c>
      <c r="Q326" s="2" t="s">
        <v>47</v>
      </c>
      <c r="R326" s="2" t="s">
        <v>26</v>
      </c>
      <c r="S326" s="2" t="s">
        <v>27</v>
      </c>
    </row>
    <row r="327" spans="1:19" ht="14.25" customHeight="1" x14ac:dyDescent="0.2">
      <c r="A327" s="2">
        <v>11177</v>
      </c>
      <c r="B327" s="2" t="s">
        <v>19</v>
      </c>
      <c r="C327" s="2" t="s">
        <v>758</v>
      </c>
      <c r="D327" s="2" t="s">
        <v>508</v>
      </c>
      <c r="E327" s="3" t="str">
        <f t="shared" si="6"/>
        <v>MR. JOSE FLORES</v>
      </c>
      <c r="F327" s="7">
        <v>15526</v>
      </c>
      <c r="G327" s="3">
        <f t="shared" si="7"/>
        <v>1942</v>
      </c>
      <c r="H327" s="2" t="s">
        <v>23</v>
      </c>
      <c r="I327" s="3" t="str">
        <f t="shared" si="8"/>
        <v>Married</v>
      </c>
      <c r="J327" s="2" t="s">
        <v>23</v>
      </c>
      <c r="K327" s="3" t="str">
        <f t="shared" si="9"/>
        <v>Male</v>
      </c>
      <c r="L327" s="2" t="s">
        <v>759</v>
      </c>
      <c r="M327" s="3" t="str">
        <f t="shared" si="10"/>
        <v>jose6</v>
      </c>
      <c r="N327" s="4">
        <v>110000</v>
      </c>
      <c r="O327" s="6" t="str">
        <f t="shared" si="11"/>
        <v>Rich</v>
      </c>
      <c r="P327" s="2">
        <v>2</v>
      </c>
      <c r="Q327" s="2" t="s">
        <v>25</v>
      </c>
      <c r="R327" s="2" t="s">
        <v>26</v>
      </c>
      <c r="S327" s="2" t="s">
        <v>27</v>
      </c>
    </row>
    <row r="328" spans="1:19" ht="14.25" customHeight="1" x14ac:dyDescent="0.2">
      <c r="A328" s="2">
        <v>11178</v>
      </c>
      <c r="B328" s="2" t="s">
        <v>19</v>
      </c>
      <c r="C328" s="2" t="s">
        <v>506</v>
      </c>
      <c r="D328" s="2" t="s">
        <v>213</v>
      </c>
      <c r="E328" s="3" t="str">
        <f t="shared" si="6"/>
        <v>MR. NATHAN JOHNSON</v>
      </c>
      <c r="F328" s="7">
        <v>15942</v>
      </c>
      <c r="G328" s="3">
        <f t="shared" si="7"/>
        <v>1943</v>
      </c>
      <c r="H328" s="2" t="s">
        <v>23</v>
      </c>
      <c r="I328" s="3" t="str">
        <f t="shared" si="8"/>
        <v>Married</v>
      </c>
      <c r="J328" s="2" t="s">
        <v>23</v>
      </c>
      <c r="K328" s="3" t="str">
        <f t="shared" si="9"/>
        <v>Male</v>
      </c>
      <c r="L328" s="2" t="s">
        <v>760</v>
      </c>
      <c r="M328" s="3" t="str">
        <f t="shared" si="10"/>
        <v>nathan55</v>
      </c>
      <c r="N328" s="4">
        <v>100000</v>
      </c>
      <c r="O328" s="6" t="str">
        <f t="shared" si="11"/>
        <v>Rich</v>
      </c>
      <c r="P328" s="2">
        <v>2</v>
      </c>
      <c r="Q328" s="2" t="s">
        <v>25</v>
      </c>
      <c r="R328" s="2" t="s">
        <v>26</v>
      </c>
      <c r="S328" s="2" t="s">
        <v>27</v>
      </c>
    </row>
    <row r="329" spans="1:19" ht="14.25" customHeight="1" x14ac:dyDescent="0.2">
      <c r="E329" s="3" t="str">
        <f t="shared" si="6"/>
        <v xml:space="preserve">  </v>
      </c>
      <c r="G329" s="3"/>
      <c r="I329" s="3"/>
      <c r="K329" s="3"/>
      <c r="M329" s="3"/>
      <c r="N329" s="4"/>
      <c r="O329" s="6"/>
    </row>
    <row r="330" spans="1:19" ht="14.25" customHeight="1" x14ac:dyDescent="0.2">
      <c r="E330" s="3" t="str">
        <f t="shared" si="6"/>
        <v xml:space="preserve">  </v>
      </c>
      <c r="G330" s="3"/>
      <c r="I330" s="3"/>
      <c r="K330" s="3"/>
      <c r="M330" s="3"/>
      <c r="N330" s="4"/>
      <c r="O330" s="6"/>
    </row>
    <row r="331" spans="1:19" ht="14.25" customHeight="1" x14ac:dyDescent="0.2">
      <c r="E331" s="3" t="str">
        <f t="shared" si="6"/>
        <v xml:space="preserve">  </v>
      </c>
      <c r="G331" s="3"/>
      <c r="I331" s="3"/>
      <c r="K331" s="3"/>
      <c r="M331" s="3"/>
      <c r="N331" s="4"/>
      <c r="O331" s="6"/>
    </row>
    <row r="332" spans="1:19" ht="14.25" customHeight="1" x14ac:dyDescent="0.2">
      <c r="E332" s="3" t="str">
        <f t="shared" si="6"/>
        <v xml:space="preserve">  </v>
      </c>
      <c r="G332" s="3"/>
      <c r="I332" s="3"/>
      <c r="K332" s="3"/>
      <c r="M332" s="3"/>
      <c r="N332" s="4"/>
      <c r="O332" s="6"/>
    </row>
    <row r="333" spans="1:19" ht="14.25" customHeight="1" x14ac:dyDescent="0.2">
      <c r="E333" s="3" t="str">
        <f t="shared" si="6"/>
        <v xml:space="preserve">  </v>
      </c>
      <c r="G333" s="3"/>
      <c r="I333" s="3"/>
      <c r="K333" s="3"/>
      <c r="M333" s="3"/>
      <c r="N333" s="4"/>
      <c r="O333" s="6"/>
    </row>
    <row r="334" spans="1:19" ht="14.25" customHeight="1" x14ac:dyDescent="0.2">
      <c r="E334" s="3" t="str">
        <f t="shared" si="6"/>
        <v xml:space="preserve">  </v>
      </c>
      <c r="G334" s="3"/>
      <c r="I334" s="3"/>
      <c r="K334" s="3"/>
      <c r="M334" s="3"/>
      <c r="N334" s="4"/>
      <c r="O334" s="6"/>
    </row>
    <row r="335" spans="1:19" ht="14.25" customHeight="1" x14ac:dyDescent="0.2">
      <c r="E335" s="3" t="str">
        <f t="shared" si="6"/>
        <v xml:space="preserve">  </v>
      </c>
      <c r="G335" s="3"/>
      <c r="I335" s="3"/>
      <c r="K335" s="3"/>
      <c r="M335" s="3"/>
      <c r="N335" s="4"/>
      <c r="O335" s="6"/>
    </row>
    <row r="336" spans="1:19" ht="14.25" customHeight="1" x14ac:dyDescent="0.2">
      <c r="E336" s="3" t="str">
        <f t="shared" si="6"/>
        <v xml:space="preserve">  </v>
      </c>
      <c r="G336" s="3"/>
      <c r="I336" s="3"/>
      <c r="K336" s="3"/>
      <c r="M336" s="3"/>
      <c r="N336" s="4"/>
      <c r="O336" s="3"/>
    </row>
    <row r="337" spans="5:15" ht="14.25" customHeight="1" x14ac:dyDescent="0.2">
      <c r="E337" s="3" t="str">
        <f t="shared" si="6"/>
        <v xml:space="preserve">  </v>
      </c>
      <c r="G337" s="3"/>
      <c r="I337" s="3"/>
      <c r="K337" s="3"/>
      <c r="M337" s="3"/>
      <c r="N337" s="4"/>
      <c r="O337" s="6"/>
    </row>
    <row r="338" spans="5:15" ht="14.25" customHeight="1" x14ac:dyDescent="0.2">
      <c r="E338" s="3" t="str">
        <f t="shared" si="6"/>
        <v xml:space="preserve">  </v>
      </c>
      <c r="G338" s="3"/>
      <c r="I338" s="3"/>
      <c r="K338" s="3"/>
      <c r="M338" s="3"/>
      <c r="N338" s="4"/>
      <c r="O338" s="6"/>
    </row>
    <row r="339" spans="5:15" ht="14.25" customHeight="1" x14ac:dyDescent="0.2">
      <c r="E339" s="3" t="str">
        <f t="shared" si="6"/>
        <v xml:space="preserve">  </v>
      </c>
      <c r="G339" s="3"/>
      <c r="I339" s="3"/>
      <c r="K339" s="3"/>
      <c r="M339" s="3"/>
      <c r="N339" s="4"/>
      <c r="O339" s="6"/>
    </row>
    <row r="340" spans="5:15" ht="14.25" customHeight="1" x14ac:dyDescent="0.2">
      <c r="E340" s="3" t="str">
        <f t="shared" si="6"/>
        <v xml:space="preserve">  </v>
      </c>
      <c r="G340" s="3"/>
      <c r="I340" s="3"/>
      <c r="K340" s="3"/>
      <c r="M340" s="3"/>
      <c r="N340" s="4"/>
      <c r="O340" s="6"/>
    </row>
    <row r="341" spans="5:15" ht="14.25" customHeight="1" x14ac:dyDescent="0.2">
      <c r="E341" s="3" t="str">
        <f t="shared" si="6"/>
        <v xml:space="preserve">  </v>
      </c>
      <c r="G341" s="3"/>
      <c r="I341" s="3"/>
      <c r="K341" s="3"/>
      <c r="M341" s="3"/>
      <c r="N341" s="4"/>
      <c r="O341" s="6"/>
    </row>
    <row r="342" spans="5:15" ht="14.25" customHeight="1" x14ac:dyDescent="0.2">
      <c r="E342" s="3" t="str">
        <f t="shared" si="6"/>
        <v xml:space="preserve">  </v>
      </c>
      <c r="G342" s="3"/>
      <c r="I342" s="3"/>
      <c r="K342" s="3"/>
      <c r="M342" s="3"/>
      <c r="N342" s="4"/>
      <c r="O342" s="6"/>
    </row>
    <row r="343" spans="5:15" ht="14.25" customHeight="1" x14ac:dyDescent="0.2">
      <c r="E343" s="3" t="str">
        <f t="shared" si="6"/>
        <v xml:space="preserve">  </v>
      </c>
      <c r="G343" s="3"/>
      <c r="I343" s="3"/>
      <c r="K343" s="3"/>
      <c r="M343" s="3"/>
      <c r="N343" s="4"/>
      <c r="O343" s="6"/>
    </row>
    <row r="344" spans="5:15" ht="14.25" customHeight="1" x14ac:dyDescent="0.2">
      <c r="E344" s="3" t="str">
        <f t="shared" si="6"/>
        <v xml:space="preserve">  </v>
      </c>
      <c r="G344" s="3"/>
      <c r="I344" s="3"/>
      <c r="K344" s="3"/>
      <c r="M344" s="3"/>
      <c r="N344" s="4"/>
      <c r="O344" s="6"/>
    </row>
    <row r="345" spans="5:15" ht="14.25" customHeight="1" x14ac:dyDescent="0.2">
      <c r="E345" s="3" t="str">
        <f t="shared" si="6"/>
        <v xml:space="preserve">  </v>
      </c>
      <c r="G345" s="3"/>
      <c r="I345" s="3"/>
      <c r="K345" s="3"/>
      <c r="M345" s="3"/>
      <c r="N345" s="4"/>
      <c r="O345" s="6"/>
    </row>
    <row r="346" spans="5:15" ht="14.25" customHeight="1" x14ac:dyDescent="0.2">
      <c r="E346" s="3" t="str">
        <f t="shared" si="6"/>
        <v xml:space="preserve">  </v>
      </c>
      <c r="G346" s="3"/>
      <c r="I346" s="3"/>
      <c r="K346" s="3"/>
      <c r="M346" s="3"/>
      <c r="N346" s="4"/>
      <c r="O346" s="6"/>
    </row>
    <row r="347" spans="5:15" ht="14.25" customHeight="1" x14ac:dyDescent="0.2">
      <c r="E347" s="3" t="str">
        <f t="shared" si="6"/>
        <v xml:space="preserve">  </v>
      </c>
      <c r="G347" s="3"/>
      <c r="I347" s="3"/>
      <c r="K347" s="3"/>
      <c r="M347" s="3"/>
      <c r="N347" s="4"/>
      <c r="O347" s="6"/>
    </row>
    <row r="348" spans="5:15" ht="14.25" customHeight="1" x14ac:dyDescent="0.2">
      <c r="E348" s="3" t="str">
        <f t="shared" si="6"/>
        <v xml:space="preserve">  </v>
      </c>
      <c r="G348" s="3"/>
      <c r="I348" s="3"/>
      <c r="K348" s="3"/>
      <c r="M348" s="3"/>
      <c r="N348" s="4"/>
      <c r="O348" s="6"/>
    </row>
    <row r="349" spans="5:15" ht="14.25" customHeight="1" x14ac:dyDescent="0.2">
      <c r="E349" s="3" t="str">
        <f t="shared" si="6"/>
        <v xml:space="preserve">  </v>
      </c>
      <c r="G349" s="3"/>
      <c r="I349" s="3"/>
      <c r="K349" s="3"/>
      <c r="M349" s="3"/>
      <c r="N349" s="4"/>
      <c r="O349" s="6"/>
    </row>
    <row r="350" spans="5:15" ht="14.25" customHeight="1" x14ac:dyDescent="0.2">
      <c r="E350" s="3" t="str">
        <f t="shared" si="6"/>
        <v xml:space="preserve">  </v>
      </c>
      <c r="G350" s="3"/>
      <c r="I350" s="3"/>
      <c r="K350" s="3"/>
      <c r="M350" s="3"/>
      <c r="N350" s="4"/>
      <c r="O350" s="6"/>
    </row>
    <row r="351" spans="5:15" ht="14.25" customHeight="1" x14ac:dyDescent="0.2">
      <c r="E351" s="3" t="str">
        <f t="shared" si="6"/>
        <v xml:space="preserve">  </v>
      </c>
      <c r="G351" s="3"/>
      <c r="I351" s="3"/>
      <c r="K351" s="3"/>
      <c r="M351" s="3"/>
      <c r="N351" s="4"/>
      <c r="O351" s="6"/>
    </row>
    <row r="352" spans="5:15" ht="14.25" customHeight="1" x14ac:dyDescent="0.2">
      <c r="E352" s="3" t="str">
        <f t="shared" si="6"/>
        <v xml:space="preserve">  </v>
      </c>
      <c r="G352" s="3"/>
      <c r="I352" s="3"/>
      <c r="K352" s="3"/>
      <c r="M352" s="3"/>
      <c r="N352" s="4"/>
      <c r="O352" s="6"/>
    </row>
    <row r="353" spans="5:15" ht="14.25" customHeight="1" x14ac:dyDescent="0.2">
      <c r="E353" s="3" t="str">
        <f t="shared" si="6"/>
        <v xml:space="preserve">  </v>
      </c>
      <c r="G353" s="3"/>
      <c r="I353" s="3"/>
      <c r="K353" s="3"/>
      <c r="M353" s="3"/>
      <c r="N353" s="4"/>
      <c r="O353" s="6"/>
    </row>
    <row r="354" spans="5:15" ht="14.25" customHeight="1" x14ac:dyDescent="0.2">
      <c r="E354" s="3" t="str">
        <f t="shared" si="6"/>
        <v xml:space="preserve">  </v>
      </c>
      <c r="G354" s="3"/>
      <c r="I354" s="3"/>
      <c r="K354" s="3"/>
      <c r="M354" s="3"/>
      <c r="N354" s="4"/>
      <c r="O354" s="3"/>
    </row>
    <row r="355" spans="5:15" ht="14.25" customHeight="1" x14ac:dyDescent="0.2">
      <c r="E355" s="3" t="str">
        <f t="shared" si="6"/>
        <v xml:space="preserve">  </v>
      </c>
      <c r="G355" s="3"/>
      <c r="I355" s="3"/>
      <c r="K355" s="3"/>
      <c r="M355" s="3"/>
      <c r="N355" s="4"/>
      <c r="O355" s="3"/>
    </row>
    <row r="356" spans="5:15" ht="14.25" customHeight="1" x14ac:dyDescent="0.2">
      <c r="E356" s="3" t="str">
        <f t="shared" si="6"/>
        <v xml:space="preserve">  </v>
      </c>
      <c r="G356" s="3"/>
      <c r="I356" s="3"/>
      <c r="K356" s="3"/>
      <c r="M356" s="3"/>
      <c r="N356" s="4"/>
      <c r="O356" s="3"/>
    </row>
    <row r="357" spans="5:15" ht="14.25" customHeight="1" x14ac:dyDescent="0.2">
      <c r="E357" s="3" t="str">
        <f t="shared" si="6"/>
        <v xml:space="preserve">  </v>
      </c>
      <c r="G357" s="3"/>
      <c r="I357" s="3"/>
      <c r="K357" s="3"/>
      <c r="M357" s="3"/>
      <c r="N357" s="4"/>
      <c r="O357" s="3"/>
    </row>
    <row r="358" spans="5:15" ht="14.25" customHeight="1" x14ac:dyDescent="0.2">
      <c r="E358" s="3" t="str">
        <f t="shared" si="6"/>
        <v xml:space="preserve">  </v>
      </c>
      <c r="G358" s="3"/>
      <c r="I358" s="3"/>
      <c r="K358" s="3"/>
      <c r="M358" s="3"/>
      <c r="N358" s="4"/>
      <c r="O358" s="3"/>
    </row>
    <row r="359" spans="5:15" ht="14.25" customHeight="1" x14ac:dyDescent="0.2">
      <c r="E359" s="3" t="str">
        <f t="shared" si="6"/>
        <v xml:space="preserve">  </v>
      </c>
      <c r="G359" s="3"/>
      <c r="I359" s="3"/>
      <c r="K359" s="3"/>
      <c r="M359" s="3"/>
      <c r="N359" s="4"/>
      <c r="O359" s="3"/>
    </row>
    <row r="360" spans="5:15" ht="14.25" customHeight="1" x14ac:dyDescent="0.2">
      <c r="E360" s="3" t="str">
        <f t="shared" si="6"/>
        <v xml:space="preserve">  </v>
      </c>
      <c r="G360" s="3"/>
      <c r="I360" s="3"/>
      <c r="K360" s="3"/>
      <c r="M360" s="3"/>
      <c r="N360" s="4"/>
      <c r="O360" s="3"/>
    </row>
    <row r="361" spans="5:15" ht="14.25" customHeight="1" x14ac:dyDescent="0.2">
      <c r="E361" s="3" t="str">
        <f t="shared" si="6"/>
        <v xml:space="preserve">  </v>
      </c>
      <c r="G361" s="3"/>
      <c r="I361" s="3"/>
      <c r="K361" s="3"/>
      <c r="M361" s="3"/>
      <c r="N361" s="4"/>
      <c r="O361" s="3"/>
    </row>
    <row r="362" spans="5:15" ht="14.25" customHeight="1" x14ac:dyDescent="0.2">
      <c r="E362" s="3" t="str">
        <f t="shared" si="6"/>
        <v xml:space="preserve">  </v>
      </c>
      <c r="G362" s="3"/>
      <c r="I362" s="3"/>
      <c r="K362" s="3"/>
      <c r="M362" s="3"/>
      <c r="N362" s="4"/>
      <c r="O362" s="3"/>
    </row>
    <row r="363" spans="5:15" ht="14.25" customHeight="1" x14ac:dyDescent="0.2">
      <c r="E363" s="3" t="str">
        <f t="shared" si="6"/>
        <v xml:space="preserve">  </v>
      </c>
      <c r="G363" s="3"/>
      <c r="I363" s="3"/>
      <c r="K363" s="3"/>
      <c r="M363" s="3"/>
      <c r="N363" s="4"/>
      <c r="O363" s="3"/>
    </row>
    <row r="364" spans="5:15" ht="14.25" customHeight="1" x14ac:dyDescent="0.2">
      <c r="E364" s="3" t="str">
        <f t="shared" si="6"/>
        <v xml:space="preserve">  </v>
      </c>
      <c r="G364" s="3"/>
      <c r="I364" s="3"/>
      <c r="K364" s="3"/>
      <c r="M364" s="3"/>
      <c r="N364" s="4"/>
      <c r="O364" s="3"/>
    </row>
    <row r="365" spans="5:15" ht="14.25" customHeight="1" x14ac:dyDescent="0.2">
      <c r="E365" s="3" t="str">
        <f t="shared" si="6"/>
        <v xml:space="preserve">  </v>
      </c>
      <c r="G365" s="3"/>
      <c r="I365" s="3"/>
      <c r="K365" s="3"/>
      <c r="M365" s="3"/>
      <c r="N365" s="4"/>
      <c r="O365" s="3"/>
    </row>
    <row r="366" spans="5:15" ht="14.25" customHeight="1" x14ac:dyDescent="0.2">
      <c r="E366" s="3" t="str">
        <f t="shared" si="6"/>
        <v xml:space="preserve">  </v>
      </c>
      <c r="G366" s="3"/>
      <c r="I366" s="3"/>
      <c r="K366" s="3"/>
      <c r="M366" s="3"/>
      <c r="N366" s="4"/>
      <c r="O366" s="3"/>
    </row>
    <row r="367" spans="5:15" ht="14.25" customHeight="1" x14ac:dyDescent="0.2">
      <c r="E367" s="3" t="str">
        <f t="shared" si="6"/>
        <v xml:space="preserve">  </v>
      </c>
      <c r="G367" s="3"/>
      <c r="I367" s="3"/>
      <c r="K367" s="3"/>
      <c r="M367" s="3"/>
      <c r="N367" s="4"/>
      <c r="O367" s="3"/>
    </row>
    <row r="368" spans="5:15" ht="14.25" customHeight="1" x14ac:dyDescent="0.2">
      <c r="E368" s="3" t="str">
        <f t="shared" si="6"/>
        <v xml:space="preserve">  </v>
      </c>
      <c r="G368" s="3"/>
      <c r="I368" s="3"/>
      <c r="K368" s="3"/>
      <c r="M368" s="3"/>
      <c r="N368" s="4"/>
      <c r="O368" s="3"/>
    </row>
    <row r="369" spans="5:15" ht="14.25" customHeight="1" x14ac:dyDescent="0.2">
      <c r="E369" s="3" t="str">
        <f t="shared" si="6"/>
        <v xml:space="preserve">  </v>
      </c>
      <c r="G369" s="3"/>
      <c r="I369" s="3"/>
      <c r="K369" s="3"/>
      <c r="M369" s="3"/>
      <c r="N369" s="4"/>
      <c r="O369" s="3"/>
    </row>
    <row r="370" spans="5:15" ht="14.25" customHeight="1" x14ac:dyDescent="0.2">
      <c r="E370" s="3" t="str">
        <f t="shared" si="6"/>
        <v xml:space="preserve">  </v>
      </c>
      <c r="G370" s="3"/>
      <c r="I370" s="3"/>
      <c r="K370" s="3"/>
      <c r="M370" s="3"/>
      <c r="N370" s="4"/>
      <c r="O370" s="3"/>
    </row>
    <row r="371" spans="5:15" ht="14.25" customHeight="1" x14ac:dyDescent="0.2">
      <c r="E371" s="3" t="str">
        <f t="shared" si="6"/>
        <v xml:space="preserve">  </v>
      </c>
      <c r="G371" s="3"/>
      <c r="I371" s="3"/>
      <c r="K371" s="3"/>
      <c r="M371" s="3"/>
      <c r="N371" s="4"/>
      <c r="O371" s="3"/>
    </row>
    <row r="372" spans="5:15" ht="14.25" customHeight="1" x14ac:dyDescent="0.2">
      <c r="E372" s="3" t="str">
        <f t="shared" si="6"/>
        <v xml:space="preserve">  </v>
      </c>
      <c r="G372" s="3"/>
      <c r="I372" s="3"/>
      <c r="K372" s="3"/>
      <c r="M372" s="3"/>
      <c r="N372" s="4"/>
      <c r="O372" s="3"/>
    </row>
    <row r="373" spans="5:15" ht="14.25" customHeight="1" x14ac:dyDescent="0.2">
      <c r="E373" s="3" t="str">
        <f t="shared" si="6"/>
        <v xml:space="preserve">  </v>
      </c>
      <c r="G373" s="3"/>
      <c r="I373" s="3"/>
      <c r="K373" s="3"/>
      <c r="M373" s="3"/>
      <c r="N373" s="4"/>
      <c r="O373" s="3"/>
    </row>
    <row r="374" spans="5:15" ht="14.25" customHeight="1" x14ac:dyDescent="0.2">
      <c r="E374" s="3" t="str">
        <f t="shared" si="6"/>
        <v xml:space="preserve">  </v>
      </c>
      <c r="G374" s="3"/>
      <c r="I374" s="3"/>
      <c r="K374" s="3"/>
      <c r="M374" s="3"/>
      <c r="N374" s="4"/>
      <c r="O374" s="3"/>
    </row>
    <row r="375" spans="5:15" ht="14.25" customHeight="1" x14ac:dyDescent="0.2">
      <c r="E375" s="3" t="str">
        <f t="shared" si="6"/>
        <v xml:space="preserve">  </v>
      </c>
      <c r="G375" s="3"/>
      <c r="I375" s="3"/>
      <c r="K375" s="3"/>
      <c r="M375" s="3"/>
      <c r="N375" s="4"/>
      <c r="O375" s="3"/>
    </row>
    <row r="376" spans="5:15" ht="14.25" customHeight="1" x14ac:dyDescent="0.2">
      <c r="E376" s="3" t="str">
        <f t="shared" si="6"/>
        <v xml:space="preserve">  </v>
      </c>
      <c r="G376" s="3"/>
      <c r="I376" s="3"/>
      <c r="K376" s="3"/>
      <c r="M376" s="3"/>
      <c r="N376" s="4"/>
      <c r="O376" s="3"/>
    </row>
    <row r="377" spans="5:15" ht="14.25" customHeight="1" x14ac:dyDescent="0.2">
      <c r="E377" s="3" t="str">
        <f t="shared" si="6"/>
        <v xml:space="preserve">  </v>
      </c>
      <c r="G377" s="3"/>
      <c r="I377" s="3"/>
      <c r="K377" s="3"/>
      <c r="M377" s="3"/>
      <c r="N377" s="4"/>
      <c r="O377" s="3"/>
    </row>
    <row r="378" spans="5:15" ht="14.25" customHeight="1" x14ac:dyDescent="0.2">
      <c r="E378" s="3" t="str">
        <f t="shared" si="6"/>
        <v xml:space="preserve">  </v>
      </c>
      <c r="G378" s="3"/>
      <c r="I378" s="3"/>
      <c r="K378" s="3"/>
      <c r="M378" s="3"/>
      <c r="N378" s="4"/>
      <c r="O378" s="3"/>
    </row>
    <row r="379" spans="5:15" ht="14.25" customHeight="1" x14ac:dyDescent="0.2">
      <c r="E379" s="3" t="str">
        <f t="shared" si="6"/>
        <v xml:space="preserve">  </v>
      </c>
      <c r="G379" s="3"/>
      <c r="I379" s="3"/>
      <c r="K379" s="3"/>
      <c r="M379" s="3"/>
      <c r="N379" s="4"/>
      <c r="O379" s="3"/>
    </row>
    <row r="380" spans="5:15" ht="14.25" customHeight="1" x14ac:dyDescent="0.2">
      <c r="E380" s="3" t="str">
        <f t="shared" si="6"/>
        <v xml:space="preserve">  </v>
      </c>
      <c r="G380" s="3"/>
      <c r="I380" s="3"/>
      <c r="K380" s="3"/>
      <c r="M380" s="3"/>
      <c r="N380" s="4"/>
      <c r="O380" s="3"/>
    </row>
    <row r="381" spans="5:15" ht="14.25" customHeight="1" x14ac:dyDescent="0.2">
      <c r="E381" s="3" t="str">
        <f t="shared" si="6"/>
        <v xml:space="preserve">  </v>
      </c>
      <c r="G381" s="3"/>
      <c r="I381" s="3"/>
      <c r="K381" s="3"/>
      <c r="M381" s="3"/>
      <c r="N381" s="4"/>
      <c r="O381" s="3"/>
    </row>
    <row r="382" spans="5:15" ht="14.25" customHeight="1" x14ac:dyDescent="0.2">
      <c r="E382" s="3" t="str">
        <f t="shared" si="6"/>
        <v xml:space="preserve">  </v>
      </c>
      <c r="G382" s="3"/>
      <c r="I382" s="3"/>
      <c r="K382" s="3"/>
      <c r="M382" s="3"/>
      <c r="N382" s="4"/>
      <c r="O382" s="3"/>
    </row>
    <row r="383" spans="5:15" ht="14.25" customHeight="1" x14ac:dyDescent="0.2">
      <c r="E383" s="3" t="str">
        <f t="shared" si="6"/>
        <v xml:space="preserve">  </v>
      </c>
      <c r="G383" s="3"/>
      <c r="I383" s="3"/>
      <c r="K383" s="3"/>
      <c r="M383" s="3"/>
      <c r="N383" s="4"/>
      <c r="O383" s="3"/>
    </row>
    <row r="384" spans="5:15" ht="14.25" customHeight="1" x14ac:dyDescent="0.2">
      <c r="E384" s="3" t="str">
        <f t="shared" si="6"/>
        <v xml:space="preserve">  </v>
      </c>
      <c r="G384" s="3"/>
      <c r="I384" s="3"/>
      <c r="K384" s="3"/>
      <c r="M384" s="3"/>
      <c r="N384" s="4"/>
      <c r="O384" s="3"/>
    </row>
    <row r="385" spans="5:15" ht="14.25" customHeight="1" x14ac:dyDescent="0.2">
      <c r="E385" s="3" t="str">
        <f t="shared" si="6"/>
        <v xml:space="preserve">  </v>
      </c>
      <c r="G385" s="3"/>
      <c r="I385" s="3"/>
      <c r="K385" s="3"/>
      <c r="M385" s="3"/>
      <c r="N385" s="4"/>
      <c r="O385" s="3"/>
    </row>
    <row r="386" spans="5:15" ht="14.25" customHeight="1" x14ac:dyDescent="0.2">
      <c r="E386" s="3" t="str">
        <f t="shared" si="6"/>
        <v xml:space="preserve">  </v>
      </c>
      <c r="G386" s="3"/>
      <c r="I386" s="3"/>
      <c r="K386" s="3"/>
      <c r="M386" s="3"/>
      <c r="N386" s="4"/>
      <c r="O386" s="3"/>
    </row>
    <row r="387" spans="5:15" ht="14.25" customHeight="1" x14ac:dyDescent="0.2">
      <c r="E387" s="3" t="str">
        <f t="shared" si="6"/>
        <v xml:space="preserve">  </v>
      </c>
      <c r="G387" s="3"/>
      <c r="I387" s="3"/>
      <c r="K387" s="3"/>
      <c r="M387" s="3"/>
      <c r="N387" s="4"/>
      <c r="O387" s="3"/>
    </row>
    <row r="388" spans="5:15" ht="14.25" customHeight="1" x14ac:dyDescent="0.2">
      <c r="E388" s="3" t="str">
        <f t="shared" si="6"/>
        <v xml:space="preserve">  </v>
      </c>
      <c r="G388" s="3"/>
      <c r="I388" s="3"/>
      <c r="K388" s="3"/>
      <c r="M388" s="3"/>
      <c r="N388" s="4"/>
      <c r="O388" s="3"/>
    </row>
    <row r="389" spans="5:15" ht="14.25" customHeight="1" x14ac:dyDescent="0.2">
      <c r="E389" s="3" t="str">
        <f t="shared" si="6"/>
        <v xml:space="preserve">  </v>
      </c>
      <c r="G389" s="3"/>
      <c r="I389" s="3"/>
      <c r="K389" s="3"/>
      <c r="M389" s="3"/>
      <c r="N389" s="4"/>
      <c r="O389" s="3"/>
    </row>
    <row r="390" spans="5:15" ht="14.25" customHeight="1" x14ac:dyDescent="0.2">
      <c r="E390" s="3" t="str">
        <f t="shared" si="6"/>
        <v xml:space="preserve">  </v>
      </c>
      <c r="G390" s="3"/>
      <c r="I390" s="3"/>
      <c r="K390" s="3"/>
      <c r="M390" s="3"/>
      <c r="N390" s="4"/>
      <c r="O390" s="3"/>
    </row>
    <row r="391" spans="5:15" ht="14.25" customHeight="1" x14ac:dyDescent="0.2">
      <c r="E391" s="3" t="str">
        <f t="shared" si="6"/>
        <v xml:space="preserve">  </v>
      </c>
      <c r="G391" s="3"/>
      <c r="I391" s="3"/>
      <c r="K391" s="3"/>
      <c r="M391" s="3"/>
      <c r="N391" s="4"/>
      <c r="O391" s="3"/>
    </row>
    <row r="392" spans="5:15" ht="14.25" customHeight="1" x14ac:dyDescent="0.2">
      <c r="E392" s="3" t="str">
        <f t="shared" si="6"/>
        <v xml:space="preserve">  </v>
      </c>
      <c r="G392" s="3"/>
      <c r="I392" s="3"/>
      <c r="K392" s="3"/>
      <c r="M392" s="3"/>
      <c r="N392" s="4"/>
      <c r="O392" s="3"/>
    </row>
    <row r="393" spans="5:15" ht="14.25" customHeight="1" x14ac:dyDescent="0.2">
      <c r="E393" s="3" t="str">
        <f t="shared" si="6"/>
        <v xml:space="preserve">  </v>
      </c>
      <c r="G393" s="3"/>
      <c r="I393" s="3"/>
      <c r="K393" s="3"/>
      <c r="M393" s="3"/>
      <c r="N393" s="4"/>
      <c r="O393" s="3"/>
    </row>
    <row r="394" spans="5:15" ht="14.25" customHeight="1" x14ac:dyDescent="0.2">
      <c r="E394" s="3" t="str">
        <f t="shared" si="6"/>
        <v xml:space="preserve">  </v>
      </c>
      <c r="G394" s="3"/>
      <c r="I394" s="3"/>
      <c r="K394" s="3"/>
      <c r="M394" s="3"/>
      <c r="N394" s="4"/>
      <c r="O394" s="3"/>
    </row>
    <row r="395" spans="5:15" ht="14.25" customHeight="1" x14ac:dyDescent="0.2">
      <c r="E395" s="3" t="str">
        <f t="shared" si="6"/>
        <v xml:space="preserve">  </v>
      </c>
      <c r="G395" s="3"/>
      <c r="I395" s="3"/>
      <c r="K395" s="3"/>
      <c r="M395" s="3"/>
      <c r="N395" s="4"/>
      <c r="O395" s="3"/>
    </row>
    <row r="396" spans="5:15" ht="14.25" customHeight="1" x14ac:dyDescent="0.2">
      <c r="E396" s="3" t="str">
        <f t="shared" si="6"/>
        <v xml:space="preserve">  </v>
      </c>
      <c r="G396" s="3"/>
      <c r="I396" s="3"/>
      <c r="K396" s="3"/>
      <c r="M396" s="3"/>
      <c r="N396" s="4"/>
      <c r="O396" s="3"/>
    </row>
    <row r="397" spans="5:15" ht="14.25" customHeight="1" x14ac:dyDescent="0.2">
      <c r="E397" s="3" t="str">
        <f t="shared" si="6"/>
        <v xml:space="preserve">  </v>
      </c>
      <c r="G397" s="3"/>
      <c r="I397" s="3"/>
      <c r="K397" s="3"/>
      <c r="M397" s="3"/>
      <c r="N397" s="4"/>
      <c r="O397" s="3"/>
    </row>
    <row r="398" spans="5:15" ht="14.25" customHeight="1" x14ac:dyDescent="0.2">
      <c r="E398" s="3" t="str">
        <f t="shared" si="6"/>
        <v xml:space="preserve">  </v>
      </c>
      <c r="G398" s="3"/>
      <c r="I398" s="3"/>
      <c r="K398" s="3"/>
      <c r="M398" s="3"/>
      <c r="N398" s="4"/>
      <c r="O398" s="3"/>
    </row>
    <row r="399" spans="5:15" ht="14.25" customHeight="1" x14ac:dyDescent="0.2">
      <c r="E399" s="3" t="str">
        <f t="shared" si="6"/>
        <v xml:space="preserve">  </v>
      </c>
      <c r="G399" s="3"/>
      <c r="I399" s="3"/>
      <c r="K399" s="3"/>
      <c r="M399" s="3"/>
      <c r="N399" s="4"/>
      <c r="O399" s="3"/>
    </row>
    <row r="400" spans="5:15" ht="14.25" customHeight="1" x14ac:dyDescent="0.2">
      <c r="E400" s="3" t="str">
        <f t="shared" si="6"/>
        <v xml:space="preserve">  </v>
      </c>
      <c r="G400" s="3"/>
      <c r="I400" s="3"/>
      <c r="K400" s="3"/>
      <c r="M400" s="3"/>
      <c r="N400" s="4"/>
      <c r="O400" s="3"/>
    </row>
    <row r="401" spans="5:15" ht="14.25" customHeight="1" x14ac:dyDescent="0.2">
      <c r="E401" s="3" t="str">
        <f t="shared" si="6"/>
        <v xml:space="preserve">  </v>
      </c>
      <c r="G401" s="3"/>
      <c r="I401" s="3"/>
      <c r="K401" s="3"/>
      <c r="M401" s="3"/>
      <c r="N401" s="4"/>
      <c r="O401" s="3"/>
    </row>
    <row r="402" spans="5:15" ht="14.25" customHeight="1" x14ac:dyDescent="0.2">
      <c r="E402" s="3" t="str">
        <f t="shared" si="6"/>
        <v xml:space="preserve">  </v>
      </c>
      <c r="G402" s="3"/>
      <c r="I402" s="3"/>
      <c r="K402" s="3"/>
      <c r="M402" s="3"/>
      <c r="N402" s="4"/>
      <c r="O402" s="3"/>
    </row>
    <row r="403" spans="5:15" ht="14.25" customHeight="1" x14ac:dyDescent="0.2">
      <c r="E403" s="3" t="str">
        <f t="shared" si="6"/>
        <v xml:space="preserve">  </v>
      </c>
      <c r="G403" s="3"/>
      <c r="I403" s="3"/>
      <c r="K403" s="3"/>
      <c r="M403" s="3"/>
      <c r="N403" s="4"/>
      <c r="O403" s="3"/>
    </row>
    <row r="404" spans="5:15" ht="14.25" customHeight="1" x14ac:dyDescent="0.2">
      <c r="E404" s="3" t="str">
        <f t="shared" si="6"/>
        <v xml:space="preserve">  </v>
      </c>
      <c r="G404" s="3"/>
      <c r="I404" s="3"/>
      <c r="K404" s="3"/>
      <c r="M404" s="3"/>
      <c r="N404" s="4"/>
      <c r="O404" s="3"/>
    </row>
    <row r="405" spans="5:15" ht="14.25" customHeight="1" x14ac:dyDescent="0.2">
      <c r="E405" s="3" t="str">
        <f t="shared" si="6"/>
        <v xml:space="preserve">  </v>
      </c>
      <c r="G405" s="3"/>
      <c r="I405" s="3"/>
      <c r="K405" s="3"/>
      <c r="M405" s="3"/>
      <c r="N405" s="4"/>
      <c r="O405" s="3"/>
    </row>
    <row r="406" spans="5:15" ht="14.25" customHeight="1" x14ac:dyDescent="0.2">
      <c r="E406" s="3" t="str">
        <f t="shared" si="6"/>
        <v xml:space="preserve">  </v>
      </c>
      <c r="G406" s="3"/>
      <c r="I406" s="3"/>
      <c r="K406" s="3"/>
      <c r="M406" s="3"/>
      <c r="N406" s="4"/>
      <c r="O406" s="3"/>
    </row>
    <row r="407" spans="5:15" ht="14.25" customHeight="1" x14ac:dyDescent="0.2">
      <c r="E407" s="3" t="str">
        <f t="shared" si="6"/>
        <v xml:space="preserve">  </v>
      </c>
      <c r="G407" s="3"/>
      <c r="I407" s="3"/>
      <c r="K407" s="3"/>
      <c r="M407" s="3"/>
      <c r="N407" s="4"/>
      <c r="O407" s="3"/>
    </row>
    <row r="408" spans="5:15" ht="14.25" customHeight="1" x14ac:dyDescent="0.2">
      <c r="E408" s="3" t="str">
        <f t="shared" si="6"/>
        <v xml:space="preserve">  </v>
      </c>
      <c r="G408" s="3"/>
      <c r="I408" s="3"/>
      <c r="K408" s="3"/>
      <c r="M408" s="3"/>
      <c r="N408" s="4"/>
      <c r="O408" s="3"/>
    </row>
    <row r="409" spans="5:15" ht="14.25" customHeight="1" x14ac:dyDescent="0.2">
      <c r="E409" s="3" t="str">
        <f t="shared" si="6"/>
        <v xml:space="preserve">  </v>
      </c>
      <c r="G409" s="3"/>
      <c r="I409" s="3"/>
      <c r="K409" s="3"/>
      <c r="M409" s="3"/>
      <c r="N409" s="4"/>
      <c r="O409" s="3"/>
    </row>
    <row r="410" spans="5:15" ht="14.25" customHeight="1" x14ac:dyDescent="0.2">
      <c r="E410" s="3" t="str">
        <f t="shared" si="6"/>
        <v xml:space="preserve">  </v>
      </c>
      <c r="G410" s="3"/>
      <c r="I410" s="3"/>
      <c r="K410" s="3"/>
      <c r="M410" s="3"/>
      <c r="N410" s="4"/>
      <c r="O410" s="3"/>
    </row>
    <row r="411" spans="5:15" ht="14.25" customHeight="1" x14ac:dyDescent="0.2">
      <c r="E411" s="3" t="str">
        <f t="shared" si="6"/>
        <v xml:space="preserve">  </v>
      </c>
      <c r="G411" s="3"/>
      <c r="I411" s="3"/>
      <c r="K411" s="3"/>
      <c r="M411" s="3"/>
      <c r="N411" s="4"/>
      <c r="O411" s="3"/>
    </row>
    <row r="412" spans="5:15" ht="14.25" customHeight="1" x14ac:dyDescent="0.2">
      <c r="E412" s="3" t="str">
        <f t="shared" si="6"/>
        <v xml:space="preserve">  </v>
      </c>
      <c r="G412" s="3"/>
      <c r="I412" s="3"/>
      <c r="K412" s="3"/>
      <c r="M412" s="3"/>
      <c r="N412" s="4"/>
      <c r="O412" s="3"/>
    </row>
    <row r="413" spans="5:15" ht="14.25" customHeight="1" x14ac:dyDescent="0.2">
      <c r="E413" s="3" t="str">
        <f t="shared" si="6"/>
        <v xml:space="preserve">  </v>
      </c>
      <c r="G413" s="3"/>
      <c r="I413" s="3"/>
      <c r="K413" s="3"/>
      <c r="M413" s="3"/>
      <c r="N413" s="4"/>
      <c r="O413" s="3"/>
    </row>
    <row r="414" spans="5:15" ht="14.25" customHeight="1" x14ac:dyDescent="0.2">
      <c r="E414" s="3" t="str">
        <f t="shared" si="6"/>
        <v xml:space="preserve">  </v>
      </c>
      <c r="G414" s="3"/>
      <c r="I414" s="3"/>
      <c r="K414" s="3"/>
      <c r="M414" s="3"/>
      <c r="N414" s="4"/>
      <c r="O414" s="3"/>
    </row>
    <row r="415" spans="5:15" ht="14.25" customHeight="1" x14ac:dyDescent="0.2">
      <c r="E415" s="3" t="str">
        <f t="shared" si="6"/>
        <v xml:space="preserve">  </v>
      </c>
      <c r="G415" s="3"/>
      <c r="I415" s="3"/>
      <c r="K415" s="3"/>
      <c r="M415" s="3"/>
      <c r="N415" s="4"/>
      <c r="O415" s="3"/>
    </row>
    <row r="416" spans="5:15" ht="14.25" customHeight="1" x14ac:dyDescent="0.2">
      <c r="E416" s="3" t="str">
        <f t="shared" si="6"/>
        <v xml:space="preserve">  </v>
      </c>
      <c r="G416" s="3"/>
      <c r="I416" s="3"/>
      <c r="K416" s="3"/>
      <c r="M416" s="3"/>
      <c r="N416" s="4"/>
      <c r="O416" s="3"/>
    </row>
    <row r="417" spans="5:15" ht="14.25" customHeight="1" x14ac:dyDescent="0.2">
      <c r="E417" s="3" t="str">
        <f t="shared" si="6"/>
        <v xml:space="preserve">  </v>
      </c>
      <c r="G417" s="3"/>
      <c r="I417" s="3"/>
      <c r="K417" s="3"/>
      <c r="M417" s="3"/>
      <c r="N417" s="4"/>
      <c r="O417" s="3"/>
    </row>
    <row r="418" spans="5:15" ht="14.25" customHeight="1" x14ac:dyDescent="0.2">
      <c r="E418" s="3" t="str">
        <f t="shared" si="6"/>
        <v xml:space="preserve">  </v>
      </c>
      <c r="G418" s="3"/>
      <c r="I418" s="3"/>
      <c r="K418" s="3"/>
      <c r="M418" s="3"/>
      <c r="N418" s="4"/>
      <c r="O418" s="3"/>
    </row>
    <row r="419" spans="5:15" ht="14.25" customHeight="1" x14ac:dyDescent="0.2">
      <c r="E419" s="3" t="str">
        <f t="shared" si="6"/>
        <v xml:space="preserve">  </v>
      </c>
      <c r="G419" s="3"/>
      <c r="I419" s="3"/>
      <c r="K419" s="3"/>
      <c r="M419" s="3"/>
      <c r="N419" s="4"/>
      <c r="O419" s="3"/>
    </row>
    <row r="420" spans="5:15" ht="14.25" customHeight="1" x14ac:dyDescent="0.2">
      <c r="E420" s="3" t="str">
        <f t="shared" si="6"/>
        <v xml:space="preserve">  </v>
      </c>
      <c r="G420" s="3"/>
      <c r="I420" s="3"/>
      <c r="K420" s="3"/>
      <c r="M420" s="3"/>
      <c r="N420" s="4"/>
      <c r="O420" s="3"/>
    </row>
    <row r="421" spans="5:15" ht="14.25" customHeight="1" x14ac:dyDescent="0.2">
      <c r="E421" s="3" t="str">
        <f t="shared" si="6"/>
        <v xml:space="preserve">  </v>
      </c>
      <c r="G421" s="3"/>
      <c r="I421" s="3"/>
      <c r="K421" s="3"/>
      <c r="M421" s="3"/>
      <c r="N421" s="4"/>
      <c r="O421" s="3"/>
    </row>
    <row r="422" spans="5:15" ht="14.25" customHeight="1" x14ac:dyDescent="0.2">
      <c r="E422" s="3" t="str">
        <f t="shared" si="6"/>
        <v xml:space="preserve">  </v>
      </c>
      <c r="G422" s="3"/>
      <c r="I422" s="3"/>
      <c r="K422" s="3"/>
      <c r="M422" s="3"/>
      <c r="N422" s="4"/>
      <c r="O422" s="3"/>
    </row>
    <row r="423" spans="5:15" ht="14.25" customHeight="1" x14ac:dyDescent="0.2">
      <c r="E423" s="3" t="str">
        <f t="shared" si="6"/>
        <v xml:space="preserve">  </v>
      </c>
      <c r="G423" s="3"/>
      <c r="I423" s="3"/>
      <c r="K423" s="3"/>
      <c r="M423" s="3"/>
      <c r="N423" s="4"/>
      <c r="O423" s="3"/>
    </row>
    <row r="424" spans="5:15" ht="14.25" customHeight="1" x14ac:dyDescent="0.2">
      <c r="E424" s="3" t="str">
        <f t="shared" si="6"/>
        <v xml:space="preserve">  </v>
      </c>
      <c r="G424" s="3"/>
      <c r="I424" s="3"/>
      <c r="K424" s="3"/>
      <c r="M424" s="3"/>
      <c r="N424" s="4"/>
      <c r="O424" s="3"/>
    </row>
    <row r="425" spans="5:15" ht="14.25" customHeight="1" x14ac:dyDescent="0.2">
      <c r="E425" s="3" t="str">
        <f t="shared" si="6"/>
        <v xml:space="preserve">  </v>
      </c>
      <c r="G425" s="3"/>
      <c r="I425" s="3"/>
      <c r="K425" s="3"/>
      <c r="M425" s="3"/>
      <c r="N425" s="4"/>
      <c r="O425" s="3"/>
    </row>
    <row r="426" spans="5:15" ht="14.25" customHeight="1" x14ac:dyDescent="0.2">
      <c r="E426" s="3" t="str">
        <f t="shared" si="6"/>
        <v xml:space="preserve">  </v>
      </c>
      <c r="G426" s="3"/>
      <c r="I426" s="3"/>
      <c r="K426" s="3"/>
      <c r="M426" s="3"/>
      <c r="N426" s="4"/>
      <c r="O426" s="3"/>
    </row>
    <row r="427" spans="5:15" ht="14.25" customHeight="1" x14ac:dyDescent="0.2">
      <c r="E427" s="3" t="str">
        <f t="shared" si="6"/>
        <v xml:space="preserve">  </v>
      </c>
      <c r="G427" s="3"/>
      <c r="I427" s="3"/>
      <c r="K427" s="3"/>
      <c r="M427" s="3"/>
      <c r="N427" s="4"/>
      <c r="O427" s="3"/>
    </row>
    <row r="428" spans="5:15" ht="14.25" customHeight="1" x14ac:dyDescent="0.2">
      <c r="E428" s="3" t="str">
        <f t="shared" si="6"/>
        <v xml:space="preserve">  </v>
      </c>
      <c r="G428" s="3"/>
      <c r="I428" s="3"/>
      <c r="K428" s="3"/>
      <c r="M428" s="3"/>
      <c r="N428" s="4"/>
      <c r="O428" s="3"/>
    </row>
    <row r="429" spans="5:15" ht="14.25" customHeight="1" x14ac:dyDescent="0.2">
      <c r="E429" s="3" t="str">
        <f t="shared" si="6"/>
        <v xml:space="preserve">  </v>
      </c>
      <c r="G429" s="3"/>
      <c r="I429" s="3"/>
      <c r="K429" s="3"/>
      <c r="M429" s="3"/>
      <c r="N429" s="4"/>
      <c r="O429" s="3"/>
    </row>
    <row r="430" spans="5:15" ht="14.25" customHeight="1" x14ac:dyDescent="0.2">
      <c r="E430" s="3" t="str">
        <f t="shared" si="6"/>
        <v xml:space="preserve">  </v>
      </c>
      <c r="G430" s="3"/>
      <c r="I430" s="3"/>
      <c r="K430" s="3"/>
      <c r="M430" s="3"/>
      <c r="N430" s="4"/>
      <c r="O430" s="3"/>
    </row>
    <row r="431" spans="5:15" ht="14.25" customHeight="1" x14ac:dyDescent="0.2">
      <c r="E431" s="3" t="str">
        <f t="shared" si="6"/>
        <v xml:space="preserve">  </v>
      </c>
      <c r="G431" s="3"/>
      <c r="I431" s="3"/>
      <c r="K431" s="3"/>
      <c r="M431" s="3"/>
      <c r="N431" s="4"/>
      <c r="O431" s="3"/>
    </row>
    <row r="432" spans="5:15" ht="14.25" customHeight="1" x14ac:dyDescent="0.2">
      <c r="E432" s="3" t="str">
        <f t="shared" si="6"/>
        <v xml:space="preserve">  </v>
      </c>
      <c r="G432" s="3"/>
      <c r="I432" s="3"/>
      <c r="K432" s="3"/>
      <c r="M432" s="3"/>
      <c r="N432" s="4"/>
      <c r="O432" s="3"/>
    </row>
    <row r="433" spans="5:15" ht="14.25" customHeight="1" x14ac:dyDescent="0.2">
      <c r="E433" s="3" t="str">
        <f t="shared" si="6"/>
        <v xml:space="preserve">  </v>
      </c>
      <c r="G433" s="3"/>
      <c r="I433" s="3"/>
      <c r="K433" s="3"/>
      <c r="M433" s="3"/>
      <c r="N433" s="4"/>
      <c r="O433" s="3"/>
    </row>
    <row r="434" spans="5:15" ht="14.25" customHeight="1" x14ac:dyDescent="0.2">
      <c r="E434" s="3" t="str">
        <f t="shared" si="6"/>
        <v xml:space="preserve">  </v>
      </c>
      <c r="G434" s="3"/>
      <c r="I434" s="3"/>
      <c r="K434" s="3"/>
      <c r="M434" s="3"/>
      <c r="N434" s="4"/>
      <c r="O434" s="3"/>
    </row>
    <row r="435" spans="5:15" ht="14.25" customHeight="1" x14ac:dyDescent="0.2">
      <c r="E435" s="3" t="str">
        <f t="shared" si="6"/>
        <v xml:space="preserve">  </v>
      </c>
      <c r="G435" s="3"/>
      <c r="I435" s="3"/>
      <c r="K435" s="3"/>
      <c r="M435" s="3"/>
      <c r="N435" s="4"/>
      <c r="O435" s="3"/>
    </row>
    <row r="436" spans="5:15" ht="14.25" customHeight="1" x14ac:dyDescent="0.2">
      <c r="E436" s="3" t="str">
        <f t="shared" si="6"/>
        <v xml:space="preserve">  </v>
      </c>
      <c r="G436" s="3"/>
      <c r="I436" s="3"/>
      <c r="K436" s="3"/>
      <c r="M436" s="3"/>
      <c r="N436" s="4"/>
      <c r="O436" s="3"/>
    </row>
    <row r="437" spans="5:15" ht="14.25" customHeight="1" x14ac:dyDescent="0.2">
      <c r="E437" s="3" t="str">
        <f t="shared" si="6"/>
        <v xml:space="preserve">  </v>
      </c>
      <c r="G437" s="3"/>
      <c r="I437" s="3"/>
      <c r="K437" s="3"/>
      <c r="M437" s="3"/>
      <c r="N437" s="4"/>
      <c r="O437" s="3"/>
    </row>
    <row r="438" spans="5:15" ht="14.25" customHeight="1" x14ac:dyDescent="0.2">
      <c r="E438" s="3" t="str">
        <f t="shared" si="6"/>
        <v xml:space="preserve">  </v>
      </c>
      <c r="G438" s="3"/>
      <c r="I438" s="3"/>
      <c r="K438" s="3"/>
      <c r="M438" s="3"/>
      <c r="N438" s="4"/>
      <c r="O438" s="3"/>
    </row>
    <row r="439" spans="5:15" ht="14.25" customHeight="1" x14ac:dyDescent="0.2">
      <c r="E439" s="3" t="str">
        <f t="shared" si="6"/>
        <v xml:space="preserve">  </v>
      </c>
      <c r="G439" s="3"/>
      <c r="I439" s="3"/>
      <c r="K439" s="3"/>
      <c r="M439" s="3"/>
      <c r="N439" s="4"/>
      <c r="O439" s="3"/>
    </row>
    <row r="440" spans="5:15" ht="14.25" customHeight="1" x14ac:dyDescent="0.2">
      <c r="E440" s="3" t="str">
        <f t="shared" si="6"/>
        <v xml:space="preserve">  </v>
      </c>
      <c r="G440" s="3"/>
      <c r="I440" s="3"/>
      <c r="K440" s="3"/>
      <c r="M440" s="3"/>
      <c r="N440" s="4"/>
      <c r="O440" s="3"/>
    </row>
    <row r="441" spans="5:15" ht="14.25" customHeight="1" x14ac:dyDescent="0.2">
      <c r="E441" s="3" t="str">
        <f t="shared" si="6"/>
        <v xml:space="preserve">  </v>
      </c>
      <c r="G441" s="3"/>
      <c r="I441" s="3"/>
      <c r="K441" s="3"/>
      <c r="M441" s="3"/>
      <c r="N441" s="4"/>
      <c r="O441" s="3"/>
    </row>
    <row r="442" spans="5:15" ht="14.25" customHeight="1" x14ac:dyDescent="0.2">
      <c r="E442" s="3" t="str">
        <f t="shared" si="6"/>
        <v xml:space="preserve">  </v>
      </c>
      <c r="G442" s="3"/>
      <c r="I442" s="3"/>
      <c r="K442" s="3"/>
      <c r="M442" s="3"/>
      <c r="N442" s="4"/>
      <c r="O442" s="3"/>
    </row>
    <row r="443" spans="5:15" ht="14.25" customHeight="1" x14ac:dyDescent="0.2">
      <c r="E443" s="3" t="str">
        <f t="shared" si="6"/>
        <v xml:space="preserve">  </v>
      </c>
      <c r="G443" s="3"/>
      <c r="I443" s="3"/>
      <c r="K443" s="3"/>
      <c r="M443" s="3"/>
      <c r="N443" s="4"/>
      <c r="O443" s="3"/>
    </row>
    <row r="444" spans="5:15" ht="14.25" customHeight="1" x14ac:dyDescent="0.2">
      <c r="E444" s="3" t="str">
        <f t="shared" si="6"/>
        <v xml:space="preserve">  </v>
      </c>
      <c r="G444" s="3"/>
      <c r="I444" s="3"/>
      <c r="K444" s="3"/>
      <c r="M444" s="3"/>
      <c r="N444" s="4"/>
      <c r="O444" s="3"/>
    </row>
    <row r="445" spans="5:15" ht="14.25" customHeight="1" x14ac:dyDescent="0.2">
      <c r="E445" s="3" t="str">
        <f t="shared" si="6"/>
        <v xml:space="preserve">  </v>
      </c>
      <c r="G445" s="3"/>
      <c r="I445" s="3"/>
      <c r="K445" s="3"/>
      <c r="M445" s="3"/>
      <c r="N445" s="4"/>
      <c r="O445" s="3"/>
    </row>
    <row r="446" spans="5:15" ht="14.25" customHeight="1" x14ac:dyDescent="0.2">
      <c r="E446" s="3" t="str">
        <f t="shared" si="6"/>
        <v xml:space="preserve">  </v>
      </c>
      <c r="G446" s="3"/>
      <c r="I446" s="3"/>
      <c r="K446" s="3"/>
      <c r="M446" s="3"/>
      <c r="N446" s="4"/>
      <c r="O446" s="3"/>
    </row>
    <row r="447" spans="5:15" ht="14.25" customHeight="1" x14ac:dyDescent="0.2">
      <c r="E447" s="3" t="str">
        <f t="shared" si="6"/>
        <v xml:space="preserve">  </v>
      </c>
      <c r="G447" s="3"/>
      <c r="I447" s="3"/>
      <c r="K447" s="3"/>
      <c r="M447" s="3"/>
      <c r="N447" s="4"/>
      <c r="O447" s="3"/>
    </row>
    <row r="448" spans="5:15" ht="14.25" customHeight="1" x14ac:dyDescent="0.2">
      <c r="E448" s="3" t="str">
        <f t="shared" si="6"/>
        <v xml:space="preserve">  </v>
      </c>
      <c r="G448" s="3"/>
      <c r="I448" s="3"/>
      <c r="K448" s="3"/>
      <c r="M448" s="3"/>
      <c r="N448" s="4"/>
      <c r="O448" s="3"/>
    </row>
    <row r="449" spans="5:15" ht="14.25" customHeight="1" x14ac:dyDescent="0.2">
      <c r="E449" s="3" t="str">
        <f t="shared" si="6"/>
        <v xml:space="preserve">  </v>
      </c>
      <c r="G449" s="3"/>
      <c r="I449" s="3"/>
      <c r="K449" s="3"/>
      <c r="M449" s="3"/>
      <c r="N449" s="4"/>
      <c r="O449" s="3"/>
    </row>
    <row r="450" spans="5:15" ht="14.25" customHeight="1" x14ac:dyDescent="0.2">
      <c r="E450" s="3" t="str">
        <f t="shared" si="6"/>
        <v xml:space="preserve">  </v>
      </c>
      <c r="G450" s="3"/>
      <c r="I450" s="3"/>
      <c r="K450" s="3"/>
      <c r="M450" s="3"/>
      <c r="N450" s="4"/>
      <c r="O450" s="3"/>
    </row>
    <row r="451" spans="5:15" ht="14.25" customHeight="1" x14ac:dyDescent="0.2">
      <c r="E451" s="3" t="str">
        <f t="shared" si="6"/>
        <v xml:space="preserve">  </v>
      </c>
      <c r="G451" s="3"/>
      <c r="I451" s="3"/>
      <c r="K451" s="3"/>
      <c r="M451" s="3"/>
      <c r="N451" s="4"/>
      <c r="O451" s="3"/>
    </row>
    <row r="452" spans="5:15" ht="14.25" customHeight="1" x14ac:dyDescent="0.2">
      <c r="E452" s="3" t="str">
        <f t="shared" si="6"/>
        <v xml:space="preserve">  </v>
      </c>
      <c r="G452" s="3"/>
      <c r="I452" s="3"/>
      <c r="K452" s="3"/>
      <c r="M452" s="3"/>
      <c r="N452" s="4"/>
      <c r="O452" s="3"/>
    </row>
    <row r="453" spans="5:15" ht="14.25" customHeight="1" x14ac:dyDescent="0.2">
      <c r="E453" s="3" t="str">
        <f t="shared" si="6"/>
        <v xml:space="preserve">  </v>
      </c>
      <c r="G453" s="3"/>
      <c r="I453" s="3"/>
      <c r="K453" s="3"/>
      <c r="M453" s="3"/>
      <c r="N453" s="4"/>
      <c r="O453" s="3"/>
    </row>
    <row r="454" spans="5:15" ht="14.25" customHeight="1" x14ac:dyDescent="0.2">
      <c r="E454" s="3" t="str">
        <f t="shared" si="6"/>
        <v xml:space="preserve">  </v>
      </c>
      <c r="G454" s="3"/>
      <c r="I454" s="3"/>
      <c r="K454" s="3"/>
      <c r="M454" s="3"/>
      <c r="N454" s="4"/>
      <c r="O454" s="3"/>
    </row>
    <row r="455" spans="5:15" ht="14.25" customHeight="1" x14ac:dyDescent="0.2">
      <c r="E455" s="3" t="str">
        <f t="shared" si="6"/>
        <v xml:space="preserve">  </v>
      </c>
      <c r="G455" s="3"/>
      <c r="I455" s="3"/>
      <c r="K455" s="3"/>
      <c r="M455" s="3"/>
      <c r="N455" s="4"/>
      <c r="O455" s="3"/>
    </row>
    <row r="456" spans="5:15" ht="14.25" customHeight="1" x14ac:dyDescent="0.2">
      <c r="E456" s="3" t="str">
        <f t="shared" si="6"/>
        <v xml:space="preserve">  </v>
      </c>
      <c r="G456" s="3"/>
      <c r="I456" s="3"/>
      <c r="K456" s="3"/>
      <c r="M456" s="3"/>
      <c r="N456" s="4"/>
      <c r="O456" s="3"/>
    </row>
    <row r="457" spans="5:15" ht="14.25" customHeight="1" x14ac:dyDescent="0.2">
      <c r="E457" s="3" t="str">
        <f t="shared" si="6"/>
        <v xml:space="preserve">  </v>
      </c>
      <c r="G457" s="3"/>
      <c r="I457" s="3"/>
      <c r="K457" s="3"/>
      <c r="M457" s="3"/>
      <c r="N457" s="4"/>
      <c r="O457" s="3"/>
    </row>
    <row r="458" spans="5:15" ht="14.25" customHeight="1" x14ac:dyDescent="0.2">
      <c r="E458" s="3" t="str">
        <f t="shared" si="6"/>
        <v xml:space="preserve">  </v>
      </c>
      <c r="G458" s="3"/>
      <c r="I458" s="3"/>
      <c r="K458" s="3"/>
      <c r="M458" s="3"/>
      <c r="N458" s="4"/>
      <c r="O458" s="3"/>
    </row>
    <row r="459" spans="5:15" ht="14.25" customHeight="1" x14ac:dyDescent="0.2">
      <c r="E459" s="3" t="str">
        <f t="shared" si="6"/>
        <v xml:space="preserve">  </v>
      </c>
      <c r="G459" s="3"/>
      <c r="I459" s="3"/>
      <c r="K459" s="3"/>
      <c r="M459" s="3"/>
      <c r="N459" s="4"/>
      <c r="O459" s="3"/>
    </row>
    <row r="460" spans="5:15" ht="14.25" customHeight="1" x14ac:dyDescent="0.2">
      <c r="E460" s="3" t="str">
        <f t="shared" si="6"/>
        <v xml:space="preserve">  </v>
      </c>
      <c r="G460" s="3"/>
      <c r="I460" s="3"/>
      <c r="K460" s="3"/>
      <c r="M460" s="3"/>
      <c r="N460" s="4"/>
      <c r="O460" s="3"/>
    </row>
    <row r="461" spans="5:15" ht="14.25" customHeight="1" x14ac:dyDescent="0.2">
      <c r="E461" s="3" t="str">
        <f t="shared" si="6"/>
        <v xml:space="preserve">  </v>
      </c>
      <c r="G461" s="3"/>
      <c r="I461" s="3"/>
      <c r="K461" s="3"/>
      <c r="M461" s="3"/>
      <c r="N461" s="4"/>
      <c r="O461" s="3"/>
    </row>
    <row r="462" spans="5:15" ht="14.25" customHeight="1" x14ac:dyDescent="0.2">
      <c r="E462" s="3" t="str">
        <f t="shared" si="6"/>
        <v xml:space="preserve">  </v>
      </c>
      <c r="G462" s="3"/>
      <c r="I462" s="3"/>
      <c r="K462" s="3"/>
      <c r="M462" s="3"/>
      <c r="N462" s="4"/>
      <c r="O462" s="3"/>
    </row>
    <row r="463" spans="5:15" ht="14.25" customHeight="1" x14ac:dyDescent="0.2">
      <c r="E463" s="3" t="str">
        <f t="shared" si="6"/>
        <v xml:space="preserve">  </v>
      </c>
      <c r="G463" s="3"/>
      <c r="I463" s="3"/>
      <c r="K463" s="3"/>
      <c r="M463" s="3"/>
      <c r="N463" s="4"/>
      <c r="O463" s="3"/>
    </row>
    <row r="464" spans="5:15" ht="14.25" customHeight="1" x14ac:dyDescent="0.2">
      <c r="E464" s="3" t="str">
        <f t="shared" si="6"/>
        <v xml:space="preserve">  </v>
      </c>
      <c r="G464" s="3"/>
      <c r="I464" s="3"/>
      <c r="K464" s="3"/>
      <c r="M464" s="3"/>
      <c r="N464" s="4"/>
      <c r="O464" s="3"/>
    </row>
    <row r="465" spans="5:15" ht="14.25" customHeight="1" x14ac:dyDescent="0.2">
      <c r="E465" s="3" t="str">
        <f t="shared" si="6"/>
        <v xml:space="preserve">  </v>
      </c>
      <c r="G465" s="3"/>
      <c r="I465" s="3"/>
      <c r="K465" s="3"/>
      <c r="M465" s="3"/>
      <c r="N465" s="4"/>
      <c r="O465" s="3"/>
    </row>
    <row r="466" spans="5:15" ht="14.25" customHeight="1" x14ac:dyDescent="0.2">
      <c r="E466" s="3" t="str">
        <f t="shared" si="6"/>
        <v xml:space="preserve">  </v>
      </c>
      <c r="G466" s="3"/>
      <c r="I466" s="3"/>
      <c r="K466" s="3"/>
      <c r="M466" s="3"/>
      <c r="N466" s="4"/>
      <c r="O466" s="3"/>
    </row>
    <row r="467" spans="5:15" ht="14.25" customHeight="1" x14ac:dyDescent="0.2">
      <c r="E467" s="3" t="str">
        <f t="shared" si="6"/>
        <v xml:space="preserve">  </v>
      </c>
      <c r="G467" s="3"/>
      <c r="I467" s="3"/>
      <c r="K467" s="3"/>
      <c r="M467" s="3"/>
      <c r="N467" s="4"/>
      <c r="O467" s="3"/>
    </row>
    <row r="468" spans="5:15" ht="14.25" customHeight="1" x14ac:dyDescent="0.2">
      <c r="E468" s="3" t="str">
        <f t="shared" si="6"/>
        <v xml:space="preserve">  </v>
      </c>
      <c r="G468" s="3"/>
      <c r="I468" s="3"/>
      <c r="K468" s="3"/>
      <c r="M468" s="3"/>
      <c r="N468" s="4"/>
      <c r="O468" s="3"/>
    </row>
    <row r="469" spans="5:15" ht="14.25" customHeight="1" x14ac:dyDescent="0.2">
      <c r="E469" s="3" t="str">
        <f t="shared" si="6"/>
        <v xml:space="preserve">  </v>
      </c>
      <c r="G469" s="3"/>
      <c r="I469" s="3"/>
      <c r="K469" s="3"/>
      <c r="M469" s="3"/>
      <c r="N469" s="4"/>
      <c r="O469" s="3"/>
    </row>
    <row r="470" spans="5:15" ht="14.25" customHeight="1" x14ac:dyDescent="0.2">
      <c r="E470" s="3" t="str">
        <f t="shared" si="6"/>
        <v xml:space="preserve">  </v>
      </c>
      <c r="G470" s="3"/>
      <c r="I470" s="3"/>
      <c r="K470" s="3"/>
      <c r="M470" s="3"/>
      <c r="N470" s="4"/>
      <c r="O470" s="3"/>
    </row>
    <row r="471" spans="5:15" ht="14.25" customHeight="1" x14ac:dyDescent="0.2">
      <c r="E471" s="3" t="str">
        <f t="shared" si="6"/>
        <v xml:space="preserve">  </v>
      </c>
      <c r="G471" s="3"/>
      <c r="I471" s="3"/>
      <c r="K471" s="3"/>
      <c r="M471" s="3"/>
      <c r="N471" s="4"/>
      <c r="O471" s="3"/>
    </row>
    <row r="472" spans="5:15" ht="14.25" customHeight="1" x14ac:dyDescent="0.2">
      <c r="E472" s="3" t="str">
        <f t="shared" si="6"/>
        <v xml:space="preserve">  </v>
      </c>
      <c r="G472" s="3"/>
      <c r="I472" s="3"/>
      <c r="K472" s="3"/>
      <c r="M472" s="3"/>
      <c r="N472" s="4"/>
      <c r="O472" s="3"/>
    </row>
    <row r="473" spans="5:15" ht="14.25" customHeight="1" x14ac:dyDescent="0.2">
      <c r="E473" s="3" t="str">
        <f t="shared" si="6"/>
        <v xml:space="preserve">  </v>
      </c>
      <c r="G473" s="3"/>
      <c r="I473" s="3"/>
      <c r="K473" s="3"/>
      <c r="M473" s="3"/>
      <c r="N473" s="4"/>
      <c r="O473" s="3"/>
    </row>
    <row r="474" spans="5:15" ht="14.25" customHeight="1" x14ac:dyDescent="0.2">
      <c r="E474" s="3" t="str">
        <f t="shared" si="6"/>
        <v xml:space="preserve">  </v>
      </c>
      <c r="G474" s="3"/>
      <c r="I474" s="3"/>
      <c r="K474" s="3"/>
      <c r="M474" s="3"/>
      <c r="N474" s="4"/>
      <c r="O474" s="3"/>
    </row>
    <row r="475" spans="5:15" ht="14.25" customHeight="1" x14ac:dyDescent="0.2">
      <c r="E475" s="3" t="str">
        <f t="shared" si="6"/>
        <v xml:space="preserve">  </v>
      </c>
      <c r="G475" s="3"/>
      <c r="I475" s="3"/>
      <c r="K475" s="3"/>
      <c r="M475" s="3"/>
      <c r="N475" s="4"/>
      <c r="O475" s="3"/>
    </row>
    <row r="476" spans="5:15" ht="14.25" customHeight="1" x14ac:dyDescent="0.2">
      <c r="E476" s="3" t="str">
        <f t="shared" si="6"/>
        <v xml:space="preserve">  </v>
      </c>
      <c r="G476" s="3"/>
      <c r="I476" s="3"/>
      <c r="K476" s="3"/>
      <c r="M476" s="3"/>
      <c r="N476" s="4"/>
      <c r="O476" s="3"/>
    </row>
    <row r="477" spans="5:15" ht="14.25" customHeight="1" x14ac:dyDescent="0.2">
      <c r="E477" s="3" t="str">
        <f t="shared" si="6"/>
        <v xml:space="preserve">  </v>
      </c>
      <c r="G477" s="3"/>
      <c r="I477" s="3"/>
      <c r="K477" s="3"/>
      <c r="M477" s="3"/>
      <c r="N477" s="4"/>
      <c r="O477" s="3"/>
    </row>
    <row r="478" spans="5:15" ht="14.25" customHeight="1" x14ac:dyDescent="0.2">
      <c r="E478" s="3" t="str">
        <f t="shared" si="6"/>
        <v xml:space="preserve">  </v>
      </c>
      <c r="G478" s="3"/>
      <c r="I478" s="3"/>
      <c r="K478" s="3"/>
      <c r="M478" s="3"/>
      <c r="N478" s="4"/>
      <c r="O478" s="3"/>
    </row>
    <row r="479" spans="5:15" ht="14.25" customHeight="1" x14ac:dyDescent="0.2">
      <c r="E479" s="3" t="str">
        <f t="shared" si="6"/>
        <v xml:space="preserve">  </v>
      </c>
      <c r="G479" s="3"/>
      <c r="I479" s="3"/>
      <c r="K479" s="3"/>
      <c r="M479" s="3"/>
      <c r="N479" s="4"/>
      <c r="O479" s="3"/>
    </row>
    <row r="480" spans="5:15" ht="14.25" customHeight="1" x14ac:dyDescent="0.2">
      <c r="E480" s="3" t="str">
        <f t="shared" si="6"/>
        <v xml:space="preserve">  </v>
      </c>
      <c r="G480" s="3"/>
      <c r="I480" s="3"/>
      <c r="K480" s="3"/>
      <c r="M480" s="3"/>
      <c r="N480" s="4"/>
      <c r="O480" s="3"/>
    </row>
    <row r="481" spans="5:15" ht="14.25" customHeight="1" x14ac:dyDescent="0.2">
      <c r="E481" s="3" t="str">
        <f t="shared" si="6"/>
        <v xml:space="preserve">  </v>
      </c>
      <c r="G481" s="3"/>
      <c r="I481" s="3"/>
      <c r="K481" s="3"/>
      <c r="M481" s="3"/>
      <c r="N481" s="4"/>
      <c r="O481" s="3"/>
    </row>
    <row r="482" spans="5:15" ht="14.25" customHeight="1" x14ac:dyDescent="0.2">
      <c r="E482" s="3" t="str">
        <f t="shared" si="6"/>
        <v xml:space="preserve">  </v>
      </c>
      <c r="G482" s="3"/>
      <c r="I482" s="3"/>
      <c r="K482" s="3"/>
      <c r="M482" s="3"/>
      <c r="N482" s="4"/>
      <c r="O482" s="3"/>
    </row>
    <row r="483" spans="5:15" ht="14.25" customHeight="1" x14ac:dyDescent="0.2">
      <c r="E483" s="3" t="str">
        <f t="shared" si="6"/>
        <v xml:space="preserve">  </v>
      </c>
      <c r="G483" s="3"/>
      <c r="I483" s="3"/>
      <c r="K483" s="3"/>
      <c r="M483" s="3"/>
      <c r="N483" s="4"/>
      <c r="O483" s="3"/>
    </row>
    <row r="484" spans="5:15" ht="14.25" customHeight="1" x14ac:dyDescent="0.2">
      <c r="E484" s="3" t="str">
        <f t="shared" si="6"/>
        <v xml:space="preserve">  </v>
      </c>
      <c r="G484" s="3"/>
      <c r="I484" s="3"/>
      <c r="K484" s="3"/>
      <c r="M484" s="3"/>
      <c r="N484" s="4"/>
      <c r="O484" s="3"/>
    </row>
    <row r="485" spans="5:15" ht="14.25" customHeight="1" x14ac:dyDescent="0.2">
      <c r="E485" s="3" t="str">
        <f t="shared" si="6"/>
        <v xml:space="preserve">  </v>
      </c>
      <c r="G485" s="3"/>
      <c r="I485" s="3"/>
      <c r="K485" s="3"/>
      <c r="M485" s="3"/>
      <c r="N485" s="4"/>
      <c r="O485" s="3"/>
    </row>
    <row r="486" spans="5:15" ht="14.25" customHeight="1" x14ac:dyDescent="0.2">
      <c r="E486" s="3" t="str">
        <f t="shared" si="6"/>
        <v xml:space="preserve">  </v>
      </c>
      <c r="G486" s="3"/>
      <c r="I486" s="3"/>
      <c r="K486" s="3"/>
      <c r="M486" s="3"/>
      <c r="N486" s="4"/>
      <c r="O486" s="3"/>
    </row>
    <row r="487" spans="5:15" ht="14.25" customHeight="1" x14ac:dyDescent="0.2">
      <c r="E487" s="3" t="str">
        <f t="shared" si="6"/>
        <v xml:space="preserve">  </v>
      </c>
      <c r="G487" s="3"/>
      <c r="I487" s="3"/>
      <c r="K487" s="3"/>
      <c r="M487" s="3"/>
      <c r="N487" s="4"/>
      <c r="O487" s="3"/>
    </row>
    <row r="488" spans="5:15" ht="14.25" customHeight="1" x14ac:dyDescent="0.2">
      <c r="E488" s="3" t="str">
        <f t="shared" si="6"/>
        <v xml:space="preserve">  </v>
      </c>
      <c r="G488" s="3"/>
      <c r="I488" s="3"/>
      <c r="K488" s="3"/>
      <c r="M488" s="3"/>
      <c r="N488" s="4"/>
      <c r="O488" s="3"/>
    </row>
    <row r="489" spans="5:15" ht="14.25" customHeight="1" x14ac:dyDescent="0.2">
      <c r="E489" s="3" t="str">
        <f t="shared" si="6"/>
        <v xml:space="preserve">  </v>
      </c>
      <c r="G489" s="3"/>
      <c r="I489" s="3"/>
      <c r="K489" s="3"/>
      <c r="M489" s="3"/>
      <c r="N489" s="4"/>
      <c r="O489" s="3"/>
    </row>
    <row r="490" spans="5:15" ht="14.25" customHeight="1" x14ac:dyDescent="0.2">
      <c r="E490" s="3" t="str">
        <f t="shared" si="6"/>
        <v xml:space="preserve">  </v>
      </c>
      <c r="G490" s="3"/>
      <c r="I490" s="3"/>
      <c r="K490" s="3"/>
      <c r="M490" s="3"/>
      <c r="N490" s="4"/>
      <c r="O490" s="3"/>
    </row>
    <row r="491" spans="5:15" ht="14.25" customHeight="1" x14ac:dyDescent="0.2">
      <c r="E491" s="3"/>
      <c r="G491" s="3"/>
      <c r="I491" s="3"/>
      <c r="K491" s="3"/>
      <c r="M491" s="3"/>
      <c r="N491" s="4"/>
      <c r="O491" s="3"/>
    </row>
    <row r="492" spans="5:15" ht="14.25" customHeight="1" x14ac:dyDescent="0.2">
      <c r="E492" s="3"/>
      <c r="G492" s="3"/>
      <c r="I492" s="3"/>
      <c r="K492" s="3"/>
      <c r="M492" s="3"/>
      <c r="N492" s="4"/>
      <c r="O492" s="3"/>
    </row>
    <row r="493" spans="5:15" ht="14.25" customHeight="1" x14ac:dyDescent="0.2">
      <c r="E493" s="3"/>
      <c r="G493" s="3"/>
      <c r="I493" s="3"/>
      <c r="K493" s="3"/>
      <c r="M493" s="3"/>
      <c r="N493" s="4"/>
      <c r="O493" s="3"/>
    </row>
    <row r="494" spans="5:15" ht="14.25" customHeight="1" x14ac:dyDescent="0.2">
      <c r="E494" s="3"/>
      <c r="G494" s="3"/>
      <c r="I494" s="3"/>
      <c r="K494" s="3"/>
      <c r="M494" s="3"/>
      <c r="N494" s="4"/>
      <c r="O494" s="3"/>
    </row>
    <row r="495" spans="5:15" ht="14.25" customHeight="1" x14ac:dyDescent="0.2">
      <c r="E495" s="3"/>
      <c r="G495" s="3"/>
      <c r="I495" s="3"/>
      <c r="K495" s="3"/>
      <c r="M495" s="3"/>
      <c r="N495" s="4"/>
      <c r="O495" s="3"/>
    </row>
    <row r="496" spans="5:15" ht="14.25" customHeight="1" x14ac:dyDescent="0.2">
      <c r="E496" s="3"/>
      <c r="G496" s="3"/>
      <c r="I496" s="3"/>
      <c r="K496" s="3"/>
      <c r="M496" s="3"/>
      <c r="N496" s="4"/>
      <c r="O496" s="3"/>
    </row>
    <row r="497" spans="5:15" ht="14.25" customHeight="1" x14ac:dyDescent="0.2">
      <c r="E497" s="3"/>
      <c r="G497" s="3"/>
      <c r="I497" s="3"/>
      <c r="K497" s="3"/>
      <c r="M497" s="3"/>
      <c r="N497" s="4"/>
      <c r="O497" s="3"/>
    </row>
    <row r="498" spans="5:15" ht="14.25" customHeight="1" x14ac:dyDescent="0.2">
      <c r="E498" s="3"/>
      <c r="G498" s="3"/>
      <c r="I498" s="3"/>
      <c r="K498" s="3"/>
      <c r="M498" s="3"/>
      <c r="N498" s="4"/>
      <c r="O498" s="3"/>
    </row>
    <row r="499" spans="5:15" ht="14.25" customHeight="1" x14ac:dyDescent="0.2">
      <c r="E499" s="3"/>
      <c r="G499" s="3"/>
      <c r="I499" s="3"/>
      <c r="K499" s="3"/>
      <c r="M499" s="3"/>
      <c r="N499" s="4"/>
      <c r="O499" s="3"/>
    </row>
    <row r="500" spans="5:15" ht="14.25" customHeight="1" x14ac:dyDescent="0.2">
      <c r="E500" s="3"/>
      <c r="G500" s="3"/>
      <c r="I500" s="3"/>
      <c r="K500" s="3"/>
      <c r="M500" s="3"/>
      <c r="N500" s="4"/>
      <c r="O500" s="3"/>
    </row>
    <row r="501" spans="5:15" ht="14.25" customHeight="1" x14ac:dyDescent="0.2">
      <c r="E501" s="3"/>
      <c r="G501" s="3"/>
      <c r="I501" s="3"/>
      <c r="K501" s="3"/>
      <c r="M501" s="3"/>
      <c r="N501" s="4"/>
      <c r="O501" s="3"/>
    </row>
    <row r="502" spans="5:15" ht="14.25" customHeight="1" x14ac:dyDescent="0.2">
      <c r="E502" s="3"/>
      <c r="G502" s="3"/>
      <c r="I502" s="3"/>
      <c r="K502" s="3"/>
      <c r="M502" s="3"/>
      <c r="N502" s="4"/>
      <c r="O502" s="3"/>
    </row>
    <row r="503" spans="5:15" ht="14.25" customHeight="1" x14ac:dyDescent="0.2">
      <c r="E503" s="3"/>
      <c r="G503" s="3"/>
      <c r="I503" s="3"/>
      <c r="K503" s="3"/>
      <c r="M503" s="3"/>
      <c r="N503" s="4"/>
      <c r="O503" s="3"/>
    </row>
    <row r="504" spans="5:15" ht="14.25" customHeight="1" x14ac:dyDescent="0.2">
      <c r="E504" s="3"/>
      <c r="G504" s="3"/>
      <c r="I504" s="3"/>
      <c r="K504" s="3"/>
      <c r="M504" s="3"/>
      <c r="N504" s="4"/>
      <c r="O504" s="3"/>
    </row>
    <row r="505" spans="5:15" ht="14.25" customHeight="1" x14ac:dyDescent="0.2">
      <c r="E505" s="3"/>
      <c r="G505" s="3"/>
      <c r="I505" s="3"/>
      <c r="K505" s="3"/>
      <c r="M505" s="3"/>
      <c r="N505" s="4"/>
      <c r="O505" s="3"/>
    </row>
    <row r="506" spans="5:15" ht="14.25" customHeight="1" x14ac:dyDescent="0.2">
      <c r="E506" s="3"/>
      <c r="G506" s="3"/>
      <c r="I506" s="3"/>
      <c r="K506" s="3"/>
      <c r="M506" s="3"/>
      <c r="N506" s="4"/>
      <c r="O506" s="3"/>
    </row>
    <row r="507" spans="5:15" ht="14.25" customHeight="1" x14ac:dyDescent="0.2">
      <c r="E507" s="3"/>
      <c r="G507" s="3"/>
      <c r="I507" s="3"/>
      <c r="K507" s="3"/>
      <c r="M507" s="3"/>
      <c r="N507" s="4"/>
      <c r="O507" s="3"/>
    </row>
    <row r="508" spans="5:15" ht="14.25" customHeight="1" x14ac:dyDescent="0.2">
      <c r="E508" s="3"/>
      <c r="G508" s="3"/>
      <c r="I508" s="3"/>
      <c r="K508" s="3"/>
      <c r="M508" s="3"/>
      <c r="N508" s="4"/>
      <c r="O508" s="3"/>
    </row>
    <row r="509" spans="5:15" ht="14.25" customHeight="1" x14ac:dyDescent="0.2">
      <c r="E509" s="3"/>
      <c r="G509" s="3"/>
      <c r="I509" s="3"/>
      <c r="K509" s="3"/>
      <c r="M509" s="3"/>
      <c r="N509" s="4"/>
      <c r="O509" s="3"/>
    </row>
    <row r="510" spans="5:15" ht="14.25" customHeight="1" x14ac:dyDescent="0.2">
      <c r="E510" s="3"/>
      <c r="G510" s="3"/>
      <c r="I510" s="3"/>
      <c r="K510" s="3"/>
      <c r="M510" s="3"/>
      <c r="N510" s="4"/>
      <c r="O510" s="3"/>
    </row>
    <row r="511" spans="5:15" ht="14.25" customHeight="1" x14ac:dyDescent="0.2">
      <c r="E511" s="3"/>
      <c r="G511" s="3"/>
      <c r="I511" s="3"/>
      <c r="K511" s="3"/>
      <c r="M511" s="3"/>
      <c r="N511" s="4"/>
      <c r="O511" s="3"/>
    </row>
    <row r="512" spans="5:15" ht="14.25" customHeight="1" x14ac:dyDescent="0.2">
      <c r="E512" s="3"/>
      <c r="G512" s="3"/>
      <c r="I512" s="3"/>
      <c r="K512" s="3"/>
      <c r="M512" s="3"/>
      <c r="N512" s="4"/>
      <c r="O512" s="3"/>
    </row>
    <row r="513" spans="5:15" ht="14.25" customHeight="1" x14ac:dyDescent="0.2">
      <c r="E513" s="3"/>
      <c r="G513" s="3"/>
      <c r="I513" s="3"/>
      <c r="K513" s="3"/>
      <c r="M513" s="3"/>
      <c r="N513" s="4"/>
      <c r="O513" s="3"/>
    </row>
    <row r="514" spans="5:15" ht="14.25" customHeight="1" x14ac:dyDescent="0.2">
      <c r="E514" s="3"/>
      <c r="G514" s="3"/>
      <c r="I514" s="3"/>
      <c r="K514" s="3"/>
      <c r="M514" s="3"/>
      <c r="N514" s="4"/>
      <c r="O514" s="3"/>
    </row>
    <row r="515" spans="5:15" ht="14.25" customHeight="1" x14ac:dyDescent="0.2">
      <c r="E515" s="3"/>
      <c r="G515" s="3"/>
      <c r="I515" s="3"/>
      <c r="K515" s="3"/>
      <c r="M515" s="3"/>
      <c r="N515" s="4"/>
      <c r="O515" s="3"/>
    </row>
    <row r="516" spans="5:15" ht="14.25" customHeight="1" x14ac:dyDescent="0.2">
      <c r="E516" s="3"/>
      <c r="G516" s="3"/>
      <c r="I516" s="3"/>
      <c r="K516" s="3"/>
      <c r="M516" s="3"/>
      <c r="N516" s="4"/>
      <c r="O516" s="3"/>
    </row>
    <row r="517" spans="5:15" ht="14.25" customHeight="1" x14ac:dyDescent="0.2">
      <c r="E517" s="3"/>
      <c r="G517" s="3"/>
      <c r="I517" s="3"/>
      <c r="K517" s="3"/>
      <c r="M517" s="3"/>
      <c r="N517" s="4"/>
      <c r="O517" s="3"/>
    </row>
    <row r="518" spans="5:15" ht="14.25" customHeight="1" x14ac:dyDescent="0.2">
      <c r="E518" s="3"/>
      <c r="G518" s="3"/>
      <c r="I518" s="3"/>
      <c r="K518" s="3"/>
      <c r="M518" s="3"/>
      <c r="N518" s="4"/>
      <c r="O518" s="3"/>
    </row>
    <row r="519" spans="5:15" ht="14.25" customHeight="1" x14ac:dyDescent="0.2">
      <c r="E519" s="3"/>
      <c r="G519" s="3"/>
      <c r="I519" s="3"/>
      <c r="K519" s="3"/>
      <c r="M519" s="3"/>
      <c r="N519" s="4"/>
      <c r="O519" s="3"/>
    </row>
    <row r="520" spans="5:15" ht="14.25" customHeight="1" x14ac:dyDescent="0.2">
      <c r="E520" s="3"/>
      <c r="G520" s="3"/>
      <c r="I520" s="3"/>
      <c r="K520" s="3"/>
      <c r="M520" s="3"/>
      <c r="N520" s="4"/>
      <c r="O520" s="3"/>
    </row>
    <row r="521" spans="5:15" ht="14.25" customHeight="1" x14ac:dyDescent="0.2">
      <c r="E521" s="3"/>
      <c r="G521" s="3"/>
      <c r="I521" s="3"/>
      <c r="K521" s="3"/>
      <c r="M521" s="3"/>
      <c r="N521" s="4"/>
      <c r="O521" s="3"/>
    </row>
    <row r="522" spans="5:15" ht="14.25" customHeight="1" x14ac:dyDescent="0.2">
      <c r="E522" s="3"/>
      <c r="G522" s="3"/>
      <c r="I522" s="3"/>
      <c r="K522" s="3"/>
      <c r="M522" s="3"/>
      <c r="N522" s="4"/>
      <c r="O522" s="3"/>
    </row>
    <row r="523" spans="5:15" ht="14.25" customHeight="1" x14ac:dyDescent="0.2">
      <c r="E523" s="3"/>
      <c r="G523" s="3"/>
      <c r="I523" s="3"/>
      <c r="K523" s="3"/>
      <c r="M523" s="3"/>
      <c r="N523" s="4"/>
      <c r="O523" s="3"/>
    </row>
    <row r="524" spans="5:15" ht="14.25" customHeight="1" x14ac:dyDescent="0.2">
      <c r="E524" s="3"/>
      <c r="G524" s="3"/>
      <c r="I524" s="3"/>
      <c r="K524" s="3"/>
      <c r="M524" s="3"/>
      <c r="N524" s="4"/>
      <c r="O524" s="3"/>
    </row>
    <row r="525" spans="5:15" ht="14.25" customHeight="1" x14ac:dyDescent="0.2">
      <c r="E525" s="3"/>
      <c r="G525" s="3"/>
      <c r="I525" s="3"/>
      <c r="K525" s="3"/>
      <c r="M525" s="3"/>
      <c r="N525" s="4"/>
      <c r="O525" s="3"/>
    </row>
    <row r="526" spans="5:15" ht="14.25" customHeight="1" x14ac:dyDescent="0.2">
      <c r="E526" s="3"/>
      <c r="G526" s="3"/>
      <c r="I526" s="3"/>
      <c r="K526" s="3"/>
      <c r="M526" s="3"/>
      <c r="N526" s="4"/>
      <c r="O526" s="3"/>
    </row>
    <row r="527" spans="5:15" ht="14.25" customHeight="1" x14ac:dyDescent="0.2">
      <c r="E527" s="3"/>
      <c r="G527" s="3"/>
      <c r="I527" s="3"/>
      <c r="K527" s="3"/>
      <c r="M527" s="3"/>
      <c r="N527" s="4"/>
      <c r="O527" s="3"/>
    </row>
    <row r="528" spans="5:15" ht="14.25" customHeight="1" x14ac:dyDescent="0.2">
      <c r="E528" s="3"/>
      <c r="G528" s="3"/>
      <c r="I528" s="3"/>
      <c r="K528" s="3"/>
      <c r="M528" s="3"/>
      <c r="N528" s="4"/>
      <c r="O528" s="3"/>
    </row>
    <row r="529" spans="5:15" ht="14.25" customHeight="1" x14ac:dyDescent="0.2">
      <c r="E529" s="3"/>
      <c r="G529" s="3"/>
      <c r="I529" s="3"/>
      <c r="K529" s="3"/>
      <c r="M529" s="3"/>
      <c r="N529" s="4"/>
      <c r="O529" s="3"/>
    </row>
    <row r="530" spans="5:15" ht="14.25" customHeight="1" x14ac:dyDescent="0.2">
      <c r="E530" s="3"/>
      <c r="G530" s="3"/>
      <c r="I530" s="3"/>
      <c r="K530" s="3"/>
      <c r="M530" s="3"/>
      <c r="N530" s="4"/>
      <c r="O530" s="3"/>
    </row>
    <row r="531" spans="5:15" ht="14.25" customHeight="1" x14ac:dyDescent="0.2">
      <c r="E531" s="3"/>
      <c r="G531" s="3"/>
      <c r="I531" s="3"/>
      <c r="K531" s="3"/>
      <c r="M531" s="3"/>
      <c r="N531" s="4"/>
      <c r="O531" s="3"/>
    </row>
    <row r="532" spans="5:15" ht="14.25" customHeight="1" x14ac:dyDescent="0.2">
      <c r="E532" s="3"/>
      <c r="G532" s="3"/>
      <c r="I532" s="3"/>
      <c r="K532" s="3"/>
      <c r="M532" s="3"/>
      <c r="N532" s="4"/>
      <c r="O532" s="3"/>
    </row>
    <row r="533" spans="5:15" ht="14.25" customHeight="1" x14ac:dyDescent="0.2">
      <c r="E533" s="3"/>
      <c r="G533" s="3"/>
      <c r="I533" s="3"/>
      <c r="K533" s="3"/>
      <c r="M533" s="3"/>
      <c r="N533" s="4"/>
      <c r="O533" s="3"/>
    </row>
    <row r="534" spans="5:15" ht="14.25" customHeight="1" x14ac:dyDescent="0.2">
      <c r="E534" s="3"/>
      <c r="G534" s="3"/>
      <c r="I534" s="3"/>
      <c r="K534" s="3"/>
      <c r="M534" s="3"/>
      <c r="N534" s="4"/>
      <c r="O534" s="3"/>
    </row>
    <row r="535" spans="5:15" ht="14.25" customHeight="1" x14ac:dyDescent="0.2">
      <c r="E535" s="3"/>
      <c r="G535" s="3"/>
      <c r="I535" s="3"/>
      <c r="K535" s="3"/>
      <c r="M535" s="3"/>
      <c r="N535" s="4"/>
      <c r="O535" s="3"/>
    </row>
    <row r="536" spans="5:15" ht="14.25" customHeight="1" x14ac:dyDescent="0.2">
      <c r="E536" s="3"/>
      <c r="G536" s="3"/>
      <c r="I536" s="3"/>
      <c r="K536" s="3"/>
      <c r="M536" s="3"/>
      <c r="N536" s="4"/>
      <c r="O536" s="3"/>
    </row>
    <row r="537" spans="5:15" ht="14.25" customHeight="1" x14ac:dyDescent="0.2">
      <c r="E537" s="3"/>
      <c r="G537" s="3"/>
      <c r="I537" s="3"/>
      <c r="K537" s="3"/>
      <c r="M537" s="3"/>
      <c r="N537" s="4"/>
      <c r="O537" s="3"/>
    </row>
    <row r="538" spans="5:15" ht="14.25" customHeight="1" x14ac:dyDescent="0.2">
      <c r="E538" s="3"/>
      <c r="G538" s="3"/>
      <c r="I538" s="3"/>
      <c r="K538" s="3"/>
      <c r="M538" s="3"/>
      <c r="N538" s="4"/>
      <c r="O538" s="3"/>
    </row>
    <row r="539" spans="5:15" ht="14.25" customHeight="1" x14ac:dyDescent="0.2">
      <c r="E539" s="3"/>
      <c r="G539" s="3"/>
      <c r="I539" s="3"/>
      <c r="K539" s="3"/>
      <c r="M539" s="3"/>
      <c r="N539" s="4"/>
      <c r="O539" s="3"/>
    </row>
    <row r="540" spans="5:15" ht="14.25" customHeight="1" x14ac:dyDescent="0.2">
      <c r="E540" s="3"/>
      <c r="G540" s="3"/>
      <c r="I540" s="3"/>
      <c r="K540" s="3"/>
      <c r="M540" s="3"/>
      <c r="N540" s="4"/>
      <c r="O540" s="3"/>
    </row>
    <row r="541" spans="5:15" ht="14.25" customHeight="1" x14ac:dyDescent="0.2">
      <c r="E541" s="3"/>
      <c r="G541" s="3"/>
      <c r="I541" s="3"/>
      <c r="K541" s="3"/>
      <c r="M541" s="3"/>
      <c r="N541" s="4"/>
      <c r="O541" s="3"/>
    </row>
    <row r="542" spans="5:15" ht="14.25" customHeight="1" x14ac:dyDescent="0.2">
      <c r="E542" s="3"/>
      <c r="G542" s="3"/>
      <c r="I542" s="3"/>
      <c r="K542" s="3"/>
      <c r="M542" s="3"/>
      <c r="N542" s="4"/>
      <c r="O542" s="3"/>
    </row>
    <row r="543" spans="5:15" ht="14.25" customHeight="1" x14ac:dyDescent="0.2">
      <c r="E543" s="3"/>
      <c r="G543" s="3"/>
      <c r="I543" s="3"/>
      <c r="K543" s="3"/>
      <c r="M543" s="3"/>
      <c r="N543" s="4"/>
      <c r="O543" s="3"/>
    </row>
    <row r="544" spans="5:15" ht="14.25" customHeight="1" x14ac:dyDescent="0.2">
      <c r="E544" s="3"/>
      <c r="G544" s="3"/>
      <c r="I544" s="3"/>
      <c r="K544" s="3"/>
      <c r="M544" s="3"/>
      <c r="N544" s="4"/>
      <c r="O544" s="3"/>
    </row>
    <row r="545" spans="5:15" ht="14.25" customHeight="1" x14ac:dyDescent="0.2">
      <c r="E545" s="3"/>
      <c r="G545" s="3"/>
      <c r="I545" s="3"/>
      <c r="K545" s="3"/>
      <c r="M545" s="3"/>
      <c r="N545" s="4"/>
      <c r="O545" s="3"/>
    </row>
    <row r="546" spans="5:15" ht="14.25" customHeight="1" x14ac:dyDescent="0.2">
      <c r="E546" s="3"/>
      <c r="G546" s="3"/>
      <c r="I546" s="3"/>
      <c r="K546" s="3"/>
      <c r="M546" s="3"/>
      <c r="N546" s="4"/>
      <c r="O546" s="3"/>
    </row>
    <row r="547" spans="5:15" ht="14.25" customHeight="1" x14ac:dyDescent="0.2">
      <c r="E547" s="3"/>
      <c r="G547" s="3"/>
      <c r="I547" s="3"/>
      <c r="K547" s="3"/>
      <c r="M547" s="3"/>
      <c r="N547" s="4"/>
      <c r="O547" s="3"/>
    </row>
    <row r="548" spans="5:15" ht="14.25" customHeight="1" x14ac:dyDescent="0.2">
      <c r="E548" s="3"/>
      <c r="G548" s="3"/>
      <c r="I548" s="3"/>
      <c r="K548" s="3"/>
      <c r="M548" s="3"/>
      <c r="N548" s="4"/>
      <c r="O548" s="3"/>
    </row>
    <row r="549" spans="5:15" ht="14.25" customHeight="1" x14ac:dyDescent="0.2">
      <c r="E549" s="3"/>
      <c r="G549" s="3"/>
      <c r="I549" s="3"/>
      <c r="K549" s="3"/>
      <c r="M549" s="3"/>
      <c r="N549" s="4"/>
      <c r="O549" s="3"/>
    </row>
    <row r="550" spans="5:15" ht="14.25" customHeight="1" x14ac:dyDescent="0.2">
      <c r="E550" s="3"/>
      <c r="G550" s="3"/>
      <c r="I550" s="3"/>
      <c r="K550" s="3"/>
      <c r="M550" s="3"/>
      <c r="N550" s="4"/>
      <c r="O550" s="3"/>
    </row>
    <row r="551" spans="5:15" ht="14.25" customHeight="1" x14ac:dyDescent="0.2">
      <c r="E551" s="3"/>
      <c r="G551" s="3"/>
      <c r="I551" s="3"/>
      <c r="K551" s="3"/>
      <c r="M551" s="3"/>
      <c r="N551" s="4"/>
      <c r="O551" s="3"/>
    </row>
    <row r="552" spans="5:15" ht="14.25" customHeight="1" x14ac:dyDescent="0.2">
      <c r="E552" s="3"/>
      <c r="G552" s="3"/>
      <c r="I552" s="3"/>
      <c r="K552" s="3"/>
      <c r="M552" s="3"/>
      <c r="N552" s="4"/>
      <c r="O552" s="3"/>
    </row>
    <row r="553" spans="5:15" ht="14.25" customHeight="1" x14ac:dyDescent="0.2">
      <c r="E553" s="3"/>
      <c r="G553" s="3"/>
      <c r="I553" s="3"/>
      <c r="K553" s="3"/>
      <c r="M553" s="3"/>
      <c r="N553" s="4"/>
      <c r="O553" s="3"/>
    </row>
    <row r="554" spans="5:15" ht="14.25" customHeight="1" x14ac:dyDescent="0.2">
      <c r="E554" s="3"/>
      <c r="G554" s="3"/>
      <c r="I554" s="3"/>
      <c r="K554" s="3"/>
      <c r="M554" s="3"/>
      <c r="N554" s="4"/>
      <c r="O554" s="3"/>
    </row>
    <row r="555" spans="5:15" ht="14.25" customHeight="1" x14ac:dyDescent="0.2">
      <c r="E555" s="3"/>
      <c r="G555" s="3"/>
      <c r="I555" s="3"/>
      <c r="K555" s="3"/>
      <c r="M555" s="3"/>
      <c r="N555" s="4"/>
      <c r="O555" s="3"/>
    </row>
    <row r="556" spans="5:15" ht="14.25" customHeight="1" x14ac:dyDescent="0.2">
      <c r="E556" s="3"/>
      <c r="G556" s="3"/>
      <c r="I556" s="3"/>
      <c r="K556" s="3"/>
      <c r="M556" s="3"/>
      <c r="N556" s="4"/>
      <c r="O556" s="3"/>
    </row>
    <row r="557" spans="5:15" ht="14.25" customHeight="1" x14ac:dyDescent="0.2">
      <c r="E557" s="3"/>
      <c r="G557" s="3"/>
      <c r="I557" s="3"/>
      <c r="K557" s="3"/>
      <c r="M557" s="3"/>
      <c r="N557" s="4"/>
      <c r="O557" s="3"/>
    </row>
    <row r="558" spans="5:15" ht="14.25" customHeight="1" x14ac:dyDescent="0.2">
      <c r="E558" s="3"/>
      <c r="G558" s="3"/>
      <c r="I558" s="3"/>
      <c r="K558" s="3"/>
      <c r="M558" s="3"/>
      <c r="N558" s="4"/>
      <c r="O558" s="3"/>
    </row>
    <row r="559" spans="5:15" ht="14.25" customHeight="1" x14ac:dyDescent="0.2">
      <c r="E559" s="3"/>
      <c r="G559" s="3"/>
      <c r="I559" s="3"/>
      <c r="K559" s="3"/>
      <c r="M559" s="3"/>
      <c r="N559" s="4"/>
      <c r="O559" s="3"/>
    </row>
    <row r="560" spans="5:15" ht="14.25" customHeight="1" x14ac:dyDescent="0.2">
      <c r="E560" s="3"/>
      <c r="G560" s="3"/>
      <c r="I560" s="3"/>
      <c r="K560" s="3"/>
      <c r="M560" s="3"/>
      <c r="N560" s="4"/>
      <c r="O560" s="3"/>
    </row>
    <row r="561" spans="5:15" ht="14.25" customHeight="1" x14ac:dyDescent="0.2">
      <c r="E561" s="3"/>
      <c r="G561" s="3"/>
      <c r="I561" s="3"/>
      <c r="K561" s="3"/>
      <c r="M561" s="3"/>
      <c r="N561" s="4"/>
      <c r="O561" s="3"/>
    </row>
    <row r="562" spans="5:15" ht="14.25" customHeight="1" x14ac:dyDescent="0.2">
      <c r="E562" s="3"/>
      <c r="G562" s="3"/>
      <c r="I562" s="3"/>
      <c r="K562" s="3"/>
      <c r="M562" s="3"/>
      <c r="N562" s="4"/>
      <c r="O562" s="3"/>
    </row>
    <row r="563" spans="5:15" ht="14.25" customHeight="1" x14ac:dyDescent="0.2">
      <c r="E563" s="3"/>
      <c r="G563" s="3"/>
      <c r="I563" s="3"/>
      <c r="K563" s="3"/>
      <c r="M563" s="3"/>
      <c r="N563" s="4"/>
      <c r="O563" s="3"/>
    </row>
    <row r="564" spans="5:15" ht="14.25" customHeight="1" x14ac:dyDescent="0.2">
      <c r="E564" s="3"/>
      <c r="G564" s="3"/>
      <c r="I564" s="3"/>
      <c r="K564" s="3"/>
      <c r="M564" s="3"/>
      <c r="N564" s="4"/>
      <c r="O564" s="3"/>
    </row>
    <row r="565" spans="5:15" ht="14.25" customHeight="1" x14ac:dyDescent="0.2">
      <c r="E565" s="3"/>
      <c r="G565" s="3"/>
      <c r="I565" s="3"/>
      <c r="K565" s="3"/>
      <c r="M565" s="3"/>
      <c r="N565" s="4"/>
      <c r="O565" s="3"/>
    </row>
    <row r="566" spans="5:15" ht="14.25" customHeight="1" x14ac:dyDescent="0.2">
      <c r="E566" s="3"/>
      <c r="G566" s="3"/>
      <c r="I566" s="3"/>
      <c r="K566" s="3"/>
      <c r="M566" s="3"/>
      <c r="N566" s="4"/>
      <c r="O566" s="3"/>
    </row>
    <row r="567" spans="5:15" ht="14.25" customHeight="1" x14ac:dyDescent="0.2">
      <c r="E567" s="3"/>
      <c r="G567" s="3"/>
      <c r="I567" s="3"/>
      <c r="K567" s="3"/>
      <c r="M567" s="3"/>
      <c r="N567" s="4"/>
      <c r="O567" s="3"/>
    </row>
    <row r="568" spans="5:15" ht="14.25" customHeight="1" x14ac:dyDescent="0.2">
      <c r="E568" s="3"/>
      <c r="G568" s="3"/>
      <c r="I568" s="3"/>
      <c r="K568" s="3"/>
      <c r="M568" s="3"/>
      <c r="N568" s="4"/>
      <c r="O568" s="3"/>
    </row>
    <row r="569" spans="5:15" ht="14.25" customHeight="1" x14ac:dyDescent="0.2">
      <c r="E569" s="3"/>
      <c r="G569" s="3"/>
      <c r="I569" s="3"/>
      <c r="K569" s="3"/>
      <c r="M569" s="3"/>
      <c r="N569" s="4"/>
      <c r="O569" s="3"/>
    </row>
    <row r="570" spans="5:15" ht="14.25" customHeight="1" x14ac:dyDescent="0.2">
      <c r="E570" s="3"/>
      <c r="G570" s="3"/>
      <c r="I570" s="3"/>
      <c r="K570" s="3"/>
      <c r="M570" s="3"/>
      <c r="N570" s="4"/>
      <c r="O570" s="3"/>
    </row>
    <row r="571" spans="5:15" ht="14.25" customHeight="1" x14ac:dyDescent="0.2">
      <c r="E571" s="3"/>
      <c r="G571" s="3"/>
      <c r="I571" s="3"/>
      <c r="K571" s="3"/>
      <c r="M571" s="3"/>
      <c r="N571" s="4"/>
      <c r="O571" s="3"/>
    </row>
    <row r="572" spans="5:15" ht="14.25" customHeight="1" x14ac:dyDescent="0.2">
      <c r="E572" s="3"/>
      <c r="G572" s="3"/>
      <c r="I572" s="3"/>
      <c r="K572" s="3"/>
      <c r="M572" s="3"/>
      <c r="N572" s="4"/>
      <c r="O572" s="3"/>
    </row>
    <row r="573" spans="5:15" ht="14.25" customHeight="1" x14ac:dyDescent="0.2">
      <c r="E573" s="3"/>
      <c r="G573" s="3"/>
      <c r="I573" s="3"/>
      <c r="K573" s="3"/>
      <c r="M573" s="3"/>
      <c r="N573" s="4"/>
      <c r="O573" s="3"/>
    </row>
    <row r="574" spans="5:15" ht="14.25" customHeight="1" x14ac:dyDescent="0.2">
      <c r="E574" s="3"/>
      <c r="G574" s="3"/>
      <c r="I574" s="3"/>
      <c r="K574" s="3"/>
      <c r="M574" s="3"/>
      <c r="N574" s="4"/>
      <c r="O574" s="3"/>
    </row>
    <row r="575" spans="5:15" ht="14.25" customHeight="1" x14ac:dyDescent="0.2">
      <c r="E575" s="3"/>
      <c r="G575" s="3"/>
      <c r="I575" s="3"/>
      <c r="K575" s="3"/>
      <c r="M575" s="3"/>
      <c r="N575" s="4"/>
      <c r="O575" s="3"/>
    </row>
    <row r="576" spans="5:15" ht="14.25" customHeight="1" x14ac:dyDescent="0.2">
      <c r="E576" s="3"/>
      <c r="G576" s="3"/>
      <c r="I576" s="3"/>
      <c r="K576" s="3"/>
      <c r="M576" s="3"/>
      <c r="N576" s="4"/>
      <c r="O576" s="3"/>
    </row>
    <row r="577" spans="5:15" ht="14.25" customHeight="1" x14ac:dyDescent="0.2">
      <c r="E577" s="3"/>
      <c r="G577" s="3"/>
      <c r="I577" s="3"/>
      <c r="K577" s="3"/>
      <c r="M577" s="3"/>
      <c r="N577" s="4"/>
      <c r="O577" s="3"/>
    </row>
    <row r="578" spans="5:15" ht="14.25" customHeight="1" x14ac:dyDescent="0.2">
      <c r="E578" s="3"/>
      <c r="G578" s="3"/>
      <c r="I578" s="3"/>
      <c r="K578" s="3"/>
      <c r="M578" s="3"/>
      <c r="N578" s="4"/>
      <c r="O578" s="3"/>
    </row>
    <row r="579" spans="5:15" ht="14.25" customHeight="1" x14ac:dyDescent="0.2">
      <c r="E579" s="3"/>
      <c r="G579" s="3"/>
      <c r="I579" s="3"/>
      <c r="K579" s="3"/>
      <c r="M579" s="3"/>
      <c r="N579" s="4"/>
      <c r="O579" s="3"/>
    </row>
    <row r="580" spans="5:15" ht="14.25" customHeight="1" x14ac:dyDescent="0.2">
      <c r="E580" s="3"/>
      <c r="G580" s="3"/>
      <c r="I580" s="3"/>
      <c r="K580" s="3"/>
      <c r="M580" s="3"/>
      <c r="N580" s="4"/>
      <c r="O580" s="3"/>
    </row>
    <row r="581" spans="5:15" ht="14.25" customHeight="1" x14ac:dyDescent="0.2">
      <c r="E581" s="3"/>
      <c r="G581" s="3"/>
      <c r="I581" s="3"/>
      <c r="K581" s="3"/>
      <c r="M581" s="3"/>
      <c r="N581" s="4"/>
      <c r="O581" s="3"/>
    </row>
    <row r="582" spans="5:15" ht="14.25" customHeight="1" x14ac:dyDescent="0.2">
      <c r="E582" s="3"/>
      <c r="G582" s="3"/>
      <c r="I582" s="3"/>
      <c r="K582" s="3"/>
      <c r="M582" s="3"/>
      <c r="N582" s="4"/>
      <c r="O582" s="3"/>
    </row>
    <row r="583" spans="5:15" ht="14.25" customHeight="1" x14ac:dyDescent="0.2">
      <c r="E583" s="3"/>
      <c r="G583" s="3"/>
      <c r="I583" s="3"/>
      <c r="K583" s="3"/>
      <c r="M583" s="3"/>
      <c r="N583" s="4"/>
      <c r="O583" s="3"/>
    </row>
    <row r="584" spans="5:15" ht="14.25" customHeight="1" x14ac:dyDescent="0.2">
      <c r="E584" s="3"/>
      <c r="G584" s="3"/>
      <c r="I584" s="3"/>
      <c r="K584" s="3"/>
      <c r="M584" s="3"/>
      <c r="N584" s="4"/>
      <c r="O584" s="3"/>
    </row>
    <row r="585" spans="5:15" ht="14.25" customHeight="1" x14ac:dyDescent="0.2">
      <c r="E585" s="3"/>
      <c r="G585" s="3"/>
      <c r="I585" s="3"/>
      <c r="K585" s="3"/>
      <c r="M585" s="3"/>
      <c r="N585" s="4"/>
      <c r="O585" s="3"/>
    </row>
    <row r="586" spans="5:15" ht="14.25" customHeight="1" x14ac:dyDescent="0.2">
      <c r="E586" s="3"/>
      <c r="G586" s="3"/>
      <c r="I586" s="3"/>
      <c r="K586" s="3"/>
      <c r="M586" s="3"/>
      <c r="N586" s="4"/>
      <c r="O586" s="3"/>
    </row>
    <row r="587" spans="5:15" ht="14.25" customHeight="1" x14ac:dyDescent="0.2">
      <c r="E587" s="3"/>
      <c r="G587" s="3"/>
      <c r="I587" s="3"/>
      <c r="K587" s="3"/>
      <c r="M587" s="3"/>
      <c r="N587" s="4"/>
      <c r="O587" s="3"/>
    </row>
    <row r="588" spans="5:15" ht="14.25" customHeight="1" x14ac:dyDescent="0.2">
      <c r="E588" s="3"/>
      <c r="G588" s="3"/>
      <c r="I588" s="3"/>
      <c r="K588" s="3"/>
      <c r="M588" s="3"/>
      <c r="N588" s="4"/>
      <c r="O588" s="3"/>
    </row>
    <row r="589" spans="5:15" ht="14.25" customHeight="1" x14ac:dyDescent="0.2">
      <c r="E589" s="3"/>
      <c r="G589" s="3"/>
      <c r="I589" s="3"/>
      <c r="K589" s="3"/>
      <c r="M589" s="3"/>
      <c r="N589" s="4"/>
      <c r="O589" s="3"/>
    </row>
    <row r="590" spans="5:15" ht="14.25" customHeight="1" x14ac:dyDescent="0.2">
      <c r="E590" s="3"/>
      <c r="G590" s="3"/>
      <c r="I590" s="3"/>
      <c r="K590" s="3"/>
      <c r="M590" s="3"/>
      <c r="N590" s="4"/>
      <c r="O590" s="3"/>
    </row>
    <row r="591" spans="5:15" ht="14.25" customHeight="1" x14ac:dyDescent="0.2">
      <c r="E591" s="3"/>
      <c r="G591" s="3"/>
      <c r="I591" s="3"/>
      <c r="K591" s="3"/>
      <c r="M591" s="3"/>
      <c r="N591" s="4"/>
      <c r="O591" s="3"/>
    </row>
    <row r="592" spans="5:15" ht="14.25" customHeight="1" x14ac:dyDescent="0.2">
      <c r="E592" s="3"/>
      <c r="G592" s="3"/>
      <c r="I592" s="3"/>
      <c r="K592" s="3"/>
      <c r="M592" s="3"/>
      <c r="N592" s="4"/>
      <c r="O592" s="3"/>
    </row>
    <row r="593" spans="5:15" ht="14.25" customHeight="1" x14ac:dyDescent="0.2">
      <c r="E593" s="3"/>
      <c r="G593" s="3"/>
      <c r="I593" s="3"/>
      <c r="K593" s="3"/>
      <c r="M593" s="3"/>
      <c r="N593" s="4"/>
      <c r="O593" s="3"/>
    </row>
    <row r="594" spans="5:15" ht="14.25" customHeight="1" x14ac:dyDescent="0.2">
      <c r="E594" s="3"/>
      <c r="G594" s="3"/>
      <c r="I594" s="3"/>
      <c r="K594" s="3"/>
      <c r="M594" s="3"/>
      <c r="N594" s="4"/>
      <c r="O594" s="3"/>
    </row>
    <row r="595" spans="5:15" ht="14.25" customHeight="1" x14ac:dyDescent="0.2">
      <c r="E595" s="3"/>
      <c r="G595" s="3"/>
      <c r="I595" s="3"/>
      <c r="K595" s="3"/>
      <c r="M595" s="3"/>
      <c r="N595" s="4"/>
      <c r="O595" s="3"/>
    </row>
    <row r="596" spans="5:15" ht="14.25" customHeight="1" x14ac:dyDescent="0.2">
      <c r="E596" s="3"/>
      <c r="G596" s="3"/>
      <c r="I596" s="3"/>
      <c r="K596" s="3"/>
      <c r="M596" s="3"/>
      <c r="N596" s="4"/>
      <c r="O596" s="3"/>
    </row>
    <row r="597" spans="5:15" ht="14.25" customHeight="1" x14ac:dyDescent="0.2">
      <c r="E597" s="3"/>
      <c r="G597" s="3"/>
      <c r="I597" s="3"/>
      <c r="K597" s="3"/>
      <c r="M597" s="3"/>
      <c r="N597" s="4"/>
      <c r="O597" s="3"/>
    </row>
    <row r="598" spans="5:15" ht="14.25" customHeight="1" x14ac:dyDescent="0.2">
      <c r="E598" s="3"/>
      <c r="G598" s="3"/>
      <c r="I598" s="3"/>
      <c r="K598" s="3"/>
      <c r="M598" s="3"/>
      <c r="N598" s="4"/>
      <c r="O598" s="3"/>
    </row>
    <row r="599" spans="5:15" ht="14.25" customHeight="1" x14ac:dyDescent="0.2">
      <c r="E599" s="3"/>
      <c r="G599" s="3"/>
      <c r="I599" s="3"/>
      <c r="K599" s="3"/>
      <c r="M599" s="3"/>
      <c r="N599" s="4"/>
      <c r="O599" s="3"/>
    </row>
    <row r="600" spans="5:15" ht="14.25" customHeight="1" x14ac:dyDescent="0.2">
      <c r="E600" s="3"/>
      <c r="G600" s="3"/>
      <c r="I600" s="3"/>
      <c r="K600" s="3"/>
      <c r="M600" s="3"/>
      <c r="N600" s="4"/>
      <c r="O600" s="3"/>
    </row>
    <row r="601" spans="5:15" ht="14.25" customHeight="1" x14ac:dyDescent="0.2">
      <c r="E601" s="3"/>
      <c r="G601" s="3"/>
      <c r="I601" s="3"/>
      <c r="K601" s="3"/>
      <c r="M601" s="3"/>
      <c r="N601" s="4"/>
      <c r="O601" s="3"/>
    </row>
    <row r="602" spans="5:15" ht="14.25" customHeight="1" x14ac:dyDescent="0.2">
      <c r="E602" s="3"/>
      <c r="G602" s="3"/>
      <c r="I602" s="3"/>
      <c r="K602" s="3"/>
      <c r="M602" s="3"/>
      <c r="N602" s="4"/>
      <c r="O602" s="3"/>
    </row>
    <row r="603" spans="5:15" ht="14.25" customHeight="1" x14ac:dyDescent="0.2">
      <c r="E603" s="3"/>
      <c r="G603" s="3"/>
      <c r="I603" s="3"/>
      <c r="K603" s="3"/>
      <c r="M603" s="3"/>
      <c r="N603" s="4"/>
      <c r="O603" s="3"/>
    </row>
    <row r="604" spans="5:15" ht="14.25" customHeight="1" x14ac:dyDescent="0.2">
      <c r="E604" s="3"/>
      <c r="G604" s="3"/>
      <c r="I604" s="3"/>
      <c r="K604" s="3"/>
      <c r="M604" s="3"/>
      <c r="N604" s="4"/>
      <c r="O604" s="3"/>
    </row>
    <row r="605" spans="5:15" ht="14.25" customHeight="1" x14ac:dyDescent="0.2">
      <c r="E605" s="3"/>
      <c r="G605" s="3"/>
      <c r="I605" s="3"/>
      <c r="K605" s="3"/>
      <c r="M605" s="3"/>
      <c r="N605" s="4"/>
      <c r="O605" s="3"/>
    </row>
    <row r="606" spans="5:15" ht="14.25" customHeight="1" x14ac:dyDescent="0.2">
      <c r="E606" s="3"/>
      <c r="G606" s="3"/>
      <c r="I606" s="3"/>
      <c r="K606" s="3"/>
      <c r="M606" s="3"/>
      <c r="N606" s="4"/>
      <c r="O606" s="3"/>
    </row>
    <row r="607" spans="5:15" ht="14.25" customHeight="1" x14ac:dyDescent="0.2">
      <c r="E607" s="3"/>
      <c r="G607" s="3"/>
      <c r="I607" s="3"/>
      <c r="K607" s="3"/>
      <c r="M607" s="3"/>
      <c r="N607" s="4"/>
      <c r="O607" s="3"/>
    </row>
    <row r="608" spans="5:15" ht="14.25" customHeight="1" x14ac:dyDescent="0.2">
      <c r="E608" s="3"/>
      <c r="G608" s="3"/>
      <c r="I608" s="3"/>
      <c r="K608" s="3"/>
      <c r="M608" s="3"/>
      <c r="N608" s="4"/>
      <c r="O608" s="3"/>
    </row>
    <row r="609" spans="5:15" ht="14.25" customHeight="1" x14ac:dyDescent="0.2">
      <c r="E609" s="3"/>
      <c r="G609" s="3"/>
      <c r="I609" s="3"/>
      <c r="K609" s="3"/>
      <c r="M609" s="3"/>
      <c r="N609" s="4"/>
      <c r="O609" s="3"/>
    </row>
    <row r="610" spans="5:15" ht="14.25" customHeight="1" x14ac:dyDescent="0.2">
      <c r="E610" s="3"/>
      <c r="G610" s="3"/>
      <c r="I610" s="3"/>
      <c r="K610" s="3"/>
      <c r="M610" s="3"/>
      <c r="N610" s="4"/>
      <c r="O610" s="3"/>
    </row>
    <row r="611" spans="5:15" ht="14.25" customHeight="1" x14ac:dyDescent="0.2">
      <c r="E611" s="3"/>
      <c r="G611" s="3"/>
      <c r="I611" s="3"/>
      <c r="K611" s="3"/>
      <c r="M611" s="3"/>
      <c r="N611" s="4"/>
      <c r="O611" s="3"/>
    </row>
    <row r="612" spans="5:15" ht="14.25" customHeight="1" x14ac:dyDescent="0.2">
      <c r="E612" s="3"/>
      <c r="G612" s="3"/>
      <c r="I612" s="3"/>
      <c r="K612" s="3"/>
      <c r="M612" s="3"/>
      <c r="N612" s="4"/>
      <c r="O612" s="3"/>
    </row>
    <row r="613" spans="5:15" ht="14.25" customHeight="1" x14ac:dyDescent="0.2">
      <c r="E613" s="3"/>
      <c r="G613" s="3"/>
      <c r="I613" s="3"/>
      <c r="K613" s="3"/>
      <c r="M613" s="3"/>
      <c r="N613" s="4"/>
      <c r="O613" s="3"/>
    </row>
    <row r="614" spans="5:15" ht="14.25" customHeight="1" x14ac:dyDescent="0.2">
      <c r="E614" s="3"/>
      <c r="G614" s="3"/>
      <c r="I614" s="3"/>
      <c r="K614" s="3"/>
      <c r="M614" s="3"/>
      <c r="N614" s="4"/>
      <c r="O614" s="3"/>
    </row>
    <row r="615" spans="5:15" ht="14.25" customHeight="1" x14ac:dyDescent="0.2">
      <c r="E615" s="3"/>
      <c r="G615" s="3"/>
      <c r="I615" s="3"/>
      <c r="K615" s="3"/>
      <c r="M615" s="3"/>
      <c r="N615" s="4"/>
      <c r="O615" s="3"/>
    </row>
    <row r="616" spans="5:15" ht="14.25" customHeight="1" x14ac:dyDescent="0.2">
      <c r="E616" s="3"/>
      <c r="G616" s="3"/>
      <c r="I616" s="3"/>
      <c r="K616" s="3"/>
      <c r="M616" s="3"/>
      <c r="N616" s="4"/>
      <c r="O616" s="3"/>
    </row>
    <row r="617" spans="5:15" ht="14.25" customHeight="1" x14ac:dyDescent="0.2">
      <c r="E617" s="3"/>
      <c r="G617" s="3"/>
      <c r="I617" s="3"/>
      <c r="K617" s="3"/>
      <c r="M617" s="3"/>
      <c r="N617" s="4"/>
      <c r="O617" s="3"/>
    </row>
    <row r="618" spans="5:15" ht="14.25" customHeight="1" x14ac:dyDescent="0.2">
      <c r="E618" s="3"/>
      <c r="G618" s="3"/>
      <c r="I618" s="3"/>
      <c r="K618" s="3"/>
      <c r="M618" s="3"/>
      <c r="N618" s="4"/>
      <c r="O618" s="3"/>
    </row>
    <row r="619" spans="5:15" ht="14.25" customHeight="1" x14ac:dyDescent="0.2">
      <c r="E619" s="3"/>
      <c r="G619" s="3"/>
      <c r="I619" s="3"/>
      <c r="K619" s="3"/>
      <c r="M619" s="3"/>
      <c r="N619" s="4"/>
      <c r="O619" s="3"/>
    </row>
    <row r="620" spans="5:15" ht="14.25" customHeight="1" x14ac:dyDescent="0.2">
      <c r="E620" s="3"/>
      <c r="G620" s="3"/>
      <c r="I620" s="3"/>
      <c r="K620" s="3"/>
      <c r="M620" s="3"/>
      <c r="N620" s="4"/>
      <c r="O620" s="3"/>
    </row>
    <row r="621" spans="5:15" ht="14.25" customHeight="1" x14ac:dyDescent="0.2">
      <c r="E621" s="3"/>
      <c r="G621" s="3"/>
      <c r="I621" s="3"/>
      <c r="K621" s="3"/>
      <c r="M621" s="3"/>
      <c r="N621" s="4"/>
      <c r="O621" s="3"/>
    </row>
    <row r="622" spans="5:15" ht="14.25" customHeight="1" x14ac:dyDescent="0.2">
      <c r="E622" s="3"/>
      <c r="G622" s="3"/>
      <c r="I622" s="3"/>
      <c r="K622" s="3"/>
      <c r="M622" s="3"/>
      <c r="N622" s="4"/>
      <c r="O622" s="3"/>
    </row>
    <row r="623" spans="5:15" ht="14.25" customHeight="1" x14ac:dyDescent="0.2">
      <c r="E623" s="3"/>
      <c r="G623" s="3"/>
      <c r="I623" s="3"/>
      <c r="K623" s="3"/>
      <c r="M623" s="3"/>
      <c r="N623" s="4"/>
      <c r="O623" s="3"/>
    </row>
    <row r="624" spans="5:15" ht="14.25" customHeight="1" x14ac:dyDescent="0.2">
      <c r="E624" s="3"/>
      <c r="G624" s="3"/>
      <c r="I624" s="3"/>
      <c r="K624" s="3"/>
      <c r="M624" s="3"/>
      <c r="N624" s="4"/>
      <c r="O624" s="3"/>
    </row>
    <row r="625" spans="5:15" ht="14.25" customHeight="1" x14ac:dyDescent="0.2">
      <c r="E625" s="3"/>
      <c r="G625" s="3"/>
      <c r="I625" s="3"/>
      <c r="K625" s="3"/>
      <c r="M625" s="3"/>
      <c r="N625" s="4"/>
      <c r="O625" s="3"/>
    </row>
    <row r="626" spans="5:15" ht="14.25" customHeight="1" x14ac:dyDescent="0.2">
      <c r="E626" s="3"/>
      <c r="G626" s="3"/>
      <c r="I626" s="3"/>
      <c r="K626" s="3"/>
      <c r="M626" s="3"/>
      <c r="N626" s="4"/>
      <c r="O626" s="3"/>
    </row>
    <row r="627" spans="5:15" ht="14.25" customHeight="1" x14ac:dyDescent="0.2">
      <c r="E627" s="3"/>
      <c r="G627" s="3"/>
      <c r="I627" s="3"/>
      <c r="K627" s="3"/>
      <c r="M627" s="3"/>
      <c r="N627" s="4"/>
      <c r="O627" s="3"/>
    </row>
    <row r="628" spans="5:15" ht="14.25" customHeight="1" x14ac:dyDescent="0.2">
      <c r="E628" s="3"/>
      <c r="G628" s="3"/>
      <c r="I628" s="3"/>
      <c r="K628" s="3"/>
      <c r="M628" s="3"/>
      <c r="N628" s="4"/>
      <c r="O628" s="3"/>
    </row>
    <row r="629" spans="5:15" ht="14.25" customHeight="1" x14ac:dyDescent="0.2">
      <c r="E629" s="3"/>
      <c r="G629" s="3"/>
      <c r="I629" s="3"/>
      <c r="K629" s="3"/>
      <c r="M629" s="3"/>
      <c r="N629" s="4"/>
      <c r="O629" s="3"/>
    </row>
    <row r="630" spans="5:15" ht="14.25" customHeight="1" x14ac:dyDescent="0.2">
      <c r="E630" s="3"/>
      <c r="G630" s="3"/>
      <c r="I630" s="3"/>
      <c r="K630" s="3"/>
      <c r="M630" s="3"/>
      <c r="N630" s="4"/>
      <c r="O630" s="3"/>
    </row>
    <row r="631" spans="5:15" ht="14.25" customHeight="1" x14ac:dyDescent="0.2">
      <c r="E631" s="3"/>
      <c r="G631" s="3"/>
      <c r="I631" s="3"/>
      <c r="K631" s="3"/>
      <c r="M631" s="3"/>
      <c r="N631" s="4"/>
      <c r="O631" s="3"/>
    </row>
    <row r="632" spans="5:15" ht="14.25" customHeight="1" x14ac:dyDescent="0.2">
      <c r="E632" s="3"/>
      <c r="G632" s="3"/>
      <c r="I632" s="3"/>
      <c r="K632" s="3"/>
      <c r="M632" s="3"/>
      <c r="N632" s="4"/>
      <c r="O632" s="3"/>
    </row>
    <row r="633" spans="5:15" ht="14.25" customHeight="1" x14ac:dyDescent="0.2">
      <c r="E633" s="3"/>
      <c r="G633" s="3"/>
      <c r="I633" s="3"/>
      <c r="K633" s="3"/>
      <c r="M633" s="3"/>
      <c r="N633" s="4"/>
      <c r="O633" s="3"/>
    </row>
    <row r="634" spans="5:15" ht="14.25" customHeight="1" x14ac:dyDescent="0.2">
      <c r="E634" s="3"/>
      <c r="G634" s="3"/>
      <c r="I634" s="3"/>
      <c r="K634" s="3"/>
      <c r="M634" s="3"/>
      <c r="N634" s="4"/>
      <c r="O634" s="3"/>
    </row>
    <row r="635" spans="5:15" ht="14.25" customHeight="1" x14ac:dyDescent="0.2">
      <c r="E635" s="3"/>
      <c r="G635" s="3"/>
      <c r="I635" s="3"/>
      <c r="K635" s="3"/>
      <c r="M635" s="3"/>
      <c r="N635" s="4"/>
      <c r="O635" s="3"/>
    </row>
    <row r="636" spans="5:15" ht="14.25" customHeight="1" x14ac:dyDescent="0.2">
      <c r="E636" s="3"/>
      <c r="G636" s="3"/>
      <c r="I636" s="3"/>
      <c r="K636" s="3"/>
      <c r="M636" s="3"/>
      <c r="N636" s="4"/>
      <c r="O636" s="3"/>
    </row>
    <row r="637" spans="5:15" ht="14.25" customHeight="1" x14ac:dyDescent="0.2">
      <c r="E637" s="3"/>
      <c r="G637" s="3"/>
      <c r="I637" s="3"/>
      <c r="K637" s="3"/>
      <c r="M637" s="3"/>
      <c r="N637" s="4"/>
      <c r="O637" s="3"/>
    </row>
    <row r="638" spans="5:15" ht="14.25" customHeight="1" x14ac:dyDescent="0.2">
      <c r="E638" s="3"/>
      <c r="G638" s="3"/>
      <c r="I638" s="3"/>
      <c r="K638" s="3"/>
      <c r="M638" s="3"/>
      <c r="N638" s="4"/>
      <c r="O638" s="3"/>
    </row>
    <row r="639" spans="5:15" ht="14.25" customHeight="1" x14ac:dyDescent="0.2">
      <c r="E639" s="3"/>
      <c r="G639" s="3"/>
      <c r="I639" s="3"/>
      <c r="K639" s="3"/>
      <c r="M639" s="3"/>
      <c r="N639" s="4"/>
      <c r="O639" s="3"/>
    </row>
    <row r="640" spans="5:15" ht="14.25" customHeight="1" x14ac:dyDescent="0.2">
      <c r="E640" s="3"/>
      <c r="G640" s="3"/>
      <c r="I640" s="3"/>
      <c r="K640" s="3"/>
      <c r="M640" s="3"/>
      <c r="N640" s="4"/>
      <c r="O640" s="3"/>
    </row>
    <row r="641" spans="5:15" ht="14.25" customHeight="1" x14ac:dyDescent="0.2">
      <c r="E641" s="3"/>
      <c r="G641" s="3"/>
      <c r="I641" s="3"/>
      <c r="K641" s="3"/>
      <c r="M641" s="3"/>
      <c r="N641" s="4"/>
      <c r="O641" s="3"/>
    </row>
    <row r="642" spans="5:15" ht="14.25" customHeight="1" x14ac:dyDescent="0.2">
      <c r="E642" s="3"/>
      <c r="G642" s="3"/>
      <c r="I642" s="3"/>
      <c r="K642" s="3"/>
      <c r="M642" s="3"/>
      <c r="N642" s="4"/>
      <c r="O642" s="3"/>
    </row>
    <row r="643" spans="5:15" ht="14.25" customHeight="1" x14ac:dyDescent="0.2">
      <c r="E643" s="3"/>
      <c r="G643" s="3"/>
      <c r="I643" s="3"/>
      <c r="K643" s="3"/>
      <c r="M643" s="3"/>
      <c r="N643" s="4"/>
      <c r="O643" s="3"/>
    </row>
    <row r="644" spans="5:15" ht="14.25" customHeight="1" x14ac:dyDescent="0.2">
      <c r="E644" s="3"/>
      <c r="G644" s="3"/>
      <c r="I644" s="3"/>
      <c r="K644" s="3"/>
      <c r="M644" s="3"/>
      <c r="N644" s="4"/>
      <c r="O644" s="3"/>
    </row>
    <row r="645" spans="5:15" ht="14.25" customHeight="1" x14ac:dyDescent="0.2">
      <c r="E645" s="3"/>
      <c r="G645" s="3"/>
      <c r="I645" s="3"/>
      <c r="K645" s="3"/>
      <c r="M645" s="3"/>
      <c r="N645" s="4"/>
      <c r="O645" s="3"/>
    </row>
    <row r="646" spans="5:15" ht="14.25" customHeight="1" x14ac:dyDescent="0.2">
      <c r="E646" s="3"/>
      <c r="G646" s="3"/>
      <c r="I646" s="3"/>
      <c r="K646" s="3"/>
      <c r="M646" s="3"/>
      <c r="N646" s="4"/>
      <c r="O646" s="3"/>
    </row>
    <row r="647" spans="5:15" ht="14.25" customHeight="1" x14ac:dyDescent="0.2">
      <c r="E647" s="3"/>
      <c r="G647" s="3"/>
      <c r="I647" s="3"/>
      <c r="K647" s="3"/>
      <c r="M647" s="3"/>
      <c r="N647" s="4"/>
      <c r="O647" s="3"/>
    </row>
    <row r="648" spans="5:15" ht="14.25" customHeight="1" x14ac:dyDescent="0.2">
      <c r="E648" s="3"/>
      <c r="G648" s="3"/>
      <c r="I648" s="3"/>
      <c r="K648" s="3"/>
      <c r="M648" s="3"/>
      <c r="N648" s="4"/>
      <c r="O648" s="3"/>
    </row>
    <row r="649" spans="5:15" ht="14.25" customHeight="1" x14ac:dyDescent="0.2">
      <c r="E649" s="3"/>
      <c r="G649" s="3"/>
      <c r="I649" s="3"/>
      <c r="K649" s="3"/>
      <c r="M649" s="3"/>
      <c r="N649" s="4"/>
      <c r="O649" s="3"/>
    </row>
    <row r="650" spans="5:15" ht="14.25" customHeight="1" x14ac:dyDescent="0.2">
      <c r="E650" s="3"/>
      <c r="G650" s="3"/>
      <c r="I650" s="3"/>
      <c r="K650" s="3"/>
      <c r="M650" s="3"/>
      <c r="N650" s="4"/>
      <c r="O650" s="3"/>
    </row>
    <row r="651" spans="5:15" ht="14.25" customHeight="1" x14ac:dyDescent="0.2">
      <c r="E651" s="3"/>
      <c r="G651" s="3"/>
      <c r="I651" s="3"/>
      <c r="K651" s="3"/>
      <c r="M651" s="3"/>
      <c r="N651" s="4"/>
      <c r="O651" s="3"/>
    </row>
    <row r="652" spans="5:15" ht="14.25" customHeight="1" x14ac:dyDescent="0.2">
      <c r="E652" s="3"/>
      <c r="G652" s="3"/>
      <c r="I652" s="3"/>
      <c r="K652" s="3"/>
      <c r="M652" s="3"/>
      <c r="N652" s="4"/>
      <c r="O652" s="3"/>
    </row>
    <row r="653" spans="5:15" ht="14.25" customHeight="1" x14ac:dyDescent="0.2">
      <c r="E653" s="3"/>
      <c r="G653" s="3"/>
      <c r="I653" s="3"/>
      <c r="K653" s="3"/>
      <c r="M653" s="3"/>
      <c r="N653" s="4"/>
      <c r="O653" s="3"/>
    </row>
    <row r="654" spans="5:15" ht="14.25" customHeight="1" x14ac:dyDescent="0.2">
      <c r="E654" s="3"/>
      <c r="G654" s="3"/>
      <c r="I654" s="3"/>
      <c r="K654" s="3"/>
      <c r="M654" s="3"/>
      <c r="N654" s="4"/>
      <c r="O654" s="3"/>
    </row>
    <row r="655" spans="5:15" ht="14.25" customHeight="1" x14ac:dyDescent="0.2">
      <c r="E655" s="3"/>
      <c r="G655" s="3"/>
      <c r="I655" s="3"/>
      <c r="K655" s="3"/>
      <c r="M655" s="3"/>
      <c r="N655" s="4"/>
      <c r="O655" s="3"/>
    </row>
    <row r="656" spans="5:15" ht="14.25" customHeight="1" x14ac:dyDescent="0.2">
      <c r="E656" s="3"/>
      <c r="G656" s="3"/>
      <c r="I656" s="3"/>
      <c r="K656" s="3"/>
      <c r="M656" s="3"/>
      <c r="N656" s="4"/>
      <c r="O656" s="3"/>
    </row>
    <row r="657" spans="5:15" ht="14.25" customHeight="1" x14ac:dyDescent="0.2">
      <c r="E657" s="3"/>
      <c r="G657" s="3"/>
      <c r="I657" s="3"/>
      <c r="K657" s="3"/>
      <c r="M657" s="3"/>
      <c r="N657" s="4"/>
      <c r="O657" s="3"/>
    </row>
    <row r="658" spans="5:15" ht="14.25" customHeight="1" x14ac:dyDescent="0.2">
      <c r="E658" s="3"/>
      <c r="G658" s="3"/>
      <c r="I658" s="3"/>
      <c r="K658" s="3"/>
      <c r="M658" s="3"/>
      <c r="N658" s="4"/>
      <c r="O658" s="3"/>
    </row>
    <row r="659" spans="5:15" ht="14.25" customHeight="1" x14ac:dyDescent="0.2">
      <c r="E659" s="3"/>
      <c r="G659" s="3"/>
      <c r="I659" s="3"/>
      <c r="K659" s="3"/>
      <c r="M659" s="3"/>
      <c r="N659" s="4"/>
      <c r="O659" s="3"/>
    </row>
    <row r="660" spans="5:15" ht="14.25" customHeight="1" x14ac:dyDescent="0.2">
      <c r="E660" s="3"/>
      <c r="G660" s="3"/>
      <c r="I660" s="3"/>
      <c r="K660" s="3"/>
      <c r="M660" s="3"/>
      <c r="N660" s="4"/>
      <c r="O660" s="3"/>
    </row>
    <row r="661" spans="5:15" ht="14.25" customHeight="1" x14ac:dyDescent="0.2">
      <c r="E661" s="3"/>
      <c r="G661" s="3"/>
      <c r="I661" s="3"/>
      <c r="K661" s="3"/>
      <c r="M661" s="3"/>
      <c r="N661" s="4"/>
      <c r="O661" s="3"/>
    </row>
    <row r="662" spans="5:15" ht="14.25" customHeight="1" x14ac:dyDescent="0.2">
      <c r="E662" s="3"/>
      <c r="G662" s="3"/>
      <c r="I662" s="3"/>
      <c r="K662" s="3"/>
      <c r="M662" s="3"/>
      <c r="N662" s="4"/>
      <c r="O662" s="3"/>
    </row>
    <row r="663" spans="5:15" ht="14.25" customHeight="1" x14ac:dyDescent="0.2">
      <c r="E663" s="3"/>
      <c r="G663" s="3"/>
      <c r="I663" s="3"/>
      <c r="K663" s="3"/>
      <c r="M663" s="3"/>
      <c r="N663" s="4"/>
      <c r="O663" s="3"/>
    </row>
    <row r="664" spans="5:15" ht="14.25" customHeight="1" x14ac:dyDescent="0.2">
      <c r="E664" s="3"/>
      <c r="G664" s="3"/>
      <c r="I664" s="3"/>
      <c r="K664" s="3"/>
      <c r="M664" s="3"/>
      <c r="N664" s="4"/>
      <c r="O664" s="3"/>
    </row>
    <row r="665" spans="5:15" ht="14.25" customHeight="1" x14ac:dyDescent="0.2">
      <c r="E665" s="3"/>
      <c r="G665" s="3"/>
      <c r="I665" s="3"/>
      <c r="K665" s="3"/>
      <c r="M665" s="3"/>
      <c r="N665" s="4"/>
      <c r="O665" s="3"/>
    </row>
    <row r="666" spans="5:15" ht="14.25" customHeight="1" x14ac:dyDescent="0.2">
      <c r="E666" s="3"/>
      <c r="G666" s="3"/>
      <c r="I666" s="3"/>
      <c r="K666" s="3"/>
      <c r="M666" s="3"/>
      <c r="N666" s="4"/>
      <c r="O666" s="3"/>
    </row>
    <row r="667" spans="5:15" ht="14.25" customHeight="1" x14ac:dyDescent="0.2">
      <c r="E667" s="3"/>
      <c r="G667" s="3"/>
      <c r="I667" s="3"/>
      <c r="K667" s="3"/>
      <c r="M667" s="3"/>
      <c r="N667" s="4"/>
      <c r="O667" s="3"/>
    </row>
    <row r="668" spans="5:15" ht="14.25" customHeight="1" x14ac:dyDescent="0.2">
      <c r="E668" s="3"/>
      <c r="G668" s="3"/>
      <c r="I668" s="3"/>
      <c r="K668" s="3"/>
      <c r="M668" s="3"/>
      <c r="N668" s="4"/>
      <c r="O668" s="3"/>
    </row>
    <row r="669" spans="5:15" ht="14.25" customHeight="1" x14ac:dyDescent="0.2">
      <c r="E669" s="3"/>
      <c r="G669" s="3"/>
      <c r="I669" s="3"/>
      <c r="K669" s="3"/>
      <c r="M669" s="3"/>
      <c r="N669" s="4"/>
      <c r="O669" s="3"/>
    </row>
    <row r="670" spans="5:15" ht="14.25" customHeight="1" x14ac:dyDescent="0.2">
      <c r="E670" s="3"/>
      <c r="G670" s="3"/>
      <c r="I670" s="3"/>
      <c r="K670" s="3"/>
      <c r="M670" s="3"/>
      <c r="N670" s="4"/>
      <c r="O670" s="3"/>
    </row>
    <row r="671" spans="5:15" ht="14.25" customHeight="1" x14ac:dyDescent="0.2">
      <c r="E671" s="3"/>
      <c r="G671" s="3"/>
      <c r="I671" s="3"/>
      <c r="K671" s="3"/>
      <c r="M671" s="3"/>
      <c r="N671" s="4"/>
      <c r="O671" s="3"/>
    </row>
    <row r="672" spans="5:15" ht="14.25" customHeight="1" x14ac:dyDescent="0.2">
      <c r="E672" s="3"/>
      <c r="G672" s="3"/>
      <c r="I672" s="3"/>
      <c r="K672" s="3"/>
      <c r="M672" s="3"/>
      <c r="N672" s="4"/>
      <c r="O672" s="3"/>
    </row>
    <row r="673" spans="5:15" ht="14.25" customHeight="1" x14ac:dyDescent="0.2">
      <c r="E673" s="3"/>
      <c r="G673" s="3"/>
      <c r="I673" s="3"/>
      <c r="K673" s="3"/>
      <c r="M673" s="3"/>
      <c r="N673" s="4"/>
      <c r="O673" s="3"/>
    </row>
    <row r="674" spans="5:15" ht="14.25" customHeight="1" x14ac:dyDescent="0.2">
      <c r="E674" s="3"/>
      <c r="G674" s="3"/>
      <c r="I674" s="3"/>
      <c r="K674" s="3"/>
      <c r="M674" s="3"/>
      <c r="N674" s="4"/>
      <c r="O674" s="3"/>
    </row>
    <row r="675" spans="5:15" ht="14.25" customHeight="1" x14ac:dyDescent="0.2">
      <c r="E675" s="3"/>
      <c r="G675" s="3"/>
      <c r="I675" s="3"/>
      <c r="K675" s="3"/>
      <c r="M675" s="3"/>
      <c r="N675" s="4"/>
      <c r="O675" s="3"/>
    </row>
    <row r="676" spans="5:15" ht="14.25" customHeight="1" x14ac:dyDescent="0.2">
      <c r="E676" s="3"/>
      <c r="G676" s="3"/>
      <c r="I676" s="3"/>
      <c r="K676" s="3"/>
      <c r="M676" s="3"/>
      <c r="N676" s="4"/>
      <c r="O676" s="3"/>
    </row>
    <row r="677" spans="5:15" ht="14.25" customHeight="1" x14ac:dyDescent="0.2">
      <c r="E677" s="3"/>
      <c r="G677" s="3"/>
      <c r="I677" s="3"/>
      <c r="K677" s="3"/>
      <c r="M677" s="3"/>
      <c r="N677" s="4"/>
      <c r="O677" s="3"/>
    </row>
    <row r="678" spans="5:15" ht="14.25" customHeight="1" x14ac:dyDescent="0.2">
      <c r="E678" s="3"/>
      <c r="G678" s="3"/>
      <c r="I678" s="3"/>
      <c r="K678" s="3"/>
      <c r="M678" s="3"/>
      <c r="N678" s="4"/>
      <c r="O678" s="3"/>
    </row>
    <row r="679" spans="5:15" ht="14.25" customHeight="1" x14ac:dyDescent="0.2">
      <c r="E679" s="3"/>
      <c r="G679" s="3"/>
      <c r="I679" s="3"/>
      <c r="K679" s="3"/>
      <c r="M679" s="3"/>
      <c r="N679" s="4"/>
      <c r="O679" s="3"/>
    </row>
    <row r="680" spans="5:15" ht="14.25" customHeight="1" x14ac:dyDescent="0.2">
      <c r="E680" s="3"/>
      <c r="G680" s="3"/>
      <c r="I680" s="3"/>
      <c r="K680" s="3"/>
      <c r="M680" s="3"/>
      <c r="N680" s="4"/>
      <c r="O680" s="3"/>
    </row>
    <row r="681" spans="5:15" ht="14.25" customHeight="1" x14ac:dyDescent="0.2">
      <c r="E681" s="3"/>
      <c r="G681" s="3"/>
      <c r="I681" s="3"/>
      <c r="K681" s="3"/>
      <c r="M681" s="3"/>
      <c r="N681" s="4"/>
      <c r="O681" s="3"/>
    </row>
    <row r="682" spans="5:15" ht="14.25" customHeight="1" x14ac:dyDescent="0.2">
      <c r="E682" s="3"/>
      <c r="G682" s="3"/>
      <c r="I682" s="3"/>
      <c r="K682" s="3"/>
      <c r="M682" s="3"/>
      <c r="N682" s="4"/>
      <c r="O682" s="3"/>
    </row>
    <row r="683" spans="5:15" ht="14.25" customHeight="1" x14ac:dyDescent="0.2">
      <c r="E683" s="3"/>
      <c r="G683" s="3"/>
      <c r="I683" s="3"/>
      <c r="K683" s="3"/>
      <c r="M683" s="3"/>
      <c r="N683" s="4"/>
      <c r="O683" s="3"/>
    </row>
    <row r="684" spans="5:15" ht="14.25" customHeight="1" x14ac:dyDescent="0.2">
      <c r="E684" s="3"/>
      <c r="G684" s="3"/>
      <c r="I684" s="3"/>
      <c r="K684" s="3"/>
      <c r="M684" s="3"/>
      <c r="N684" s="4"/>
      <c r="O684" s="3"/>
    </row>
    <row r="685" spans="5:15" ht="14.25" customHeight="1" x14ac:dyDescent="0.2">
      <c r="E685" s="3"/>
      <c r="G685" s="3"/>
      <c r="I685" s="3"/>
      <c r="K685" s="3"/>
      <c r="M685" s="3"/>
      <c r="N685" s="4"/>
      <c r="O685" s="3"/>
    </row>
    <row r="686" spans="5:15" ht="14.25" customHeight="1" x14ac:dyDescent="0.2">
      <c r="E686" s="3"/>
      <c r="G686" s="3"/>
      <c r="I686" s="3"/>
      <c r="K686" s="3"/>
      <c r="M686" s="3"/>
      <c r="N686" s="4"/>
      <c r="O686" s="3"/>
    </row>
    <row r="687" spans="5:15" ht="14.25" customHeight="1" x14ac:dyDescent="0.2">
      <c r="E687" s="3"/>
      <c r="G687" s="3"/>
      <c r="I687" s="3"/>
      <c r="K687" s="3"/>
      <c r="M687" s="3"/>
      <c r="N687" s="4"/>
      <c r="O687" s="3"/>
    </row>
    <row r="688" spans="5:15" ht="14.25" customHeight="1" x14ac:dyDescent="0.2">
      <c r="E688" s="3"/>
      <c r="G688" s="3"/>
      <c r="I688" s="3"/>
      <c r="K688" s="3"/>
      <c r="M688" s="3"/>
      <c r="N688" s="4"/>
      <c r="O688" s="3"/>
    </row>
    <row r="689" spans="5:15" ht="14.25" customHeight="1" x14ac:dyDescent="0.2">
      <c r="E689" s="3"/>
      <c r="G689" s="3"/>
      <c r="I689" s="3"/>
      <c r="K689" s="3"/>
      <c r="M689" s="3"/>
      <c r="N689" s="4"/>
      <c r="O689" s="3"/>
    </row>
    <row r="690" spans="5:15" ht="14.25" customHeight="1" x14ac:dyDescent="0.2">
      <c r="E690" s="3"/>
      <c r="G690" s="3"/>
      <c r="I690" s="3"/>
      <c r="K690" s="3"/>
      <c r="M690" s="3"/>
      <c r="N690" s="4"/>
      <c r="O690" s="3"/>
    </row>
    <row r="691" spans="5:15" ht="15.75" customHeight="1" x14ac:dyDescent="0.2">
      <c r="E691" s="3"/>
      <c r="G691" s="3"/>
      <c r="I691" s="3"/>
      <c r="K691" s="3"/>
      <c r="M691" s="3"/>
      <c r="N691" s="4"/>
      <c r="O691" s="3"/>
    </row>
    <row r="692" spans="5:15" ht="15.75" customHeight="1" x14ac:dyDescent="0.2">
      <c r="E692" s="3"/>
      <c r="G692" s="3"/>
      <c r="I692" s="3"/>
      <c r="K692" s="3"/>
      <c r="M692" s="3"/>
      <c r="N692" s="4"/>
      <c r="O692" s="3"/>
    </row>
    <row r="693" spans="5:15" ht="15.75" customHeight="1" x14ac:dyDescent="0.2">
      <c r="E693" s="3"/>
      <c r="G693" s="3"/>
      <c r="I693" s="3"/>
      <c r="K693" s="3"/>
      <c r="M693" s="3"/>
      <c r="N693" s="4"/>
      <c r="O693" s="3"/>
    </row>
    <row r="694" spans="5:15" ht="15.75" customHeight="1" x14ac:dyDescent="0.2">
      <c r="E694" s="3"/>
      <c r="G694" s="3"/>
      <c r="I694" s="3"/>
      <c r="K694" s="3"/>
      <c r="M694" s="3"/>
      <c r="N694" s="4"/>
      <c r="O694" s="3"/>
    </row>
    <row r="695" spans="5:15" ht="15.75" customHeight="1" x14ac:dyDescent="0.2">
      <c r="E695" s="3"/>
      <c r="G695" s="3"/>
      <c r="I695" s="3"/>
      <c r="K695" s="3"/>
      <c r="M695" s="3"/>
      <c r="N695" s="4"/>
      <c r="O695" s="3"/>
    </row>
    <row r="696" spans="5:15" ht="15.75" customHeight="1" x14ac:dyDescent="0.2">
      <c r="E696" s="3"/>
      <c r="G696" s="3"/>
      <c r="I696" s="3"/>
      <c r="K696" s="3"/>
      <c r="M696" s="3"/>
      <c r="N696" s="4"/>
      <c r="O696" s="3"/>
    </row>
    <row r="697" spans="5:15" ht="15.75" customHeight="1" x14ac:dyDescent="0.2">
      <c r="E697" s="3"/>
      <c r="G697" s="3"/>
      <c r="I697" s="3"/>
      <c r="K697" s="3"/>
      <c r="M697" s="3"/>
      <c r="N697" s="4"/>
      <c r="O697" s="3"/>
    </row>
    <row r="698" spans="5:15" ht="15.75" customHeight="1" x14ac:dyDescent="0.2">
      <c r="E698" s="3"/>
      <c r="G698" s="3"/>
      <c r="I698" s="3"/>
      <c r="K698" s="3"/>
      <c r="M698" s="3"/>
      <c r="N698" s="4"/>
      <c r="O698" s="3"/>
    </row>
    <row r="699" spans="5:15" ht="15.75" customHeight="1" x14ac:dyDescent="0.2">
      <c r="E699" s="3"/>
      <c r="G699" s="3"/>
      <c r="I699" s="3"/>
      <c r="K699" s="3"/>
      <c r="M699" s="3"/>
      <c r="N699" s="4"/>
      <c r="O699" s="3"/>
    </row>
    <row r="700" spans="5:15" ht="15.75" customHeight="1" x14ac:dyDescent="0.2">
      <c r="E700" s="3"/>
      <c r="G700" s="3"/>
      <c r="I700" s="3"/>
      <c r="K700" s="3"/>
      <c r="M700" s="3"/>
      <c r="N700" s="4"/>
      <c r="O700" s="3"/>
    </row>
    <row r="701" spans="5:15" ht="15.75" customHeight="1" x14ac:dyDescent="0.2">
      <c r="E701" s="3"/>
      <c r="G701" s="3"/>
      <c r="I701" s="3"/>
      <c r="K701" s="3"/>
      <c r="M701" s="3"/>
      <c r="N701" s="4"/>
      <c r="O701" s="3"/>
    </row>
    <row r="702" spans="5:15" ht="15.75" customHeight="1" x14ac:dyDescent="0.2">
      <c r="E702" s="3"/>
      <c r="G702" s="3"/>
      <c r="I702" s="3"/>
      <c r="K702" s="3"/>
      <c r="M702" s="3"/>
      <c r="N702" s="4"/>
      <c r="O702" s="3"/>
    </row>
    <row r="703" spans="5:15" ht="15.75" customHeight="1" x14ac:dyDescent="0.2">
      <c r="E703" s="3"/>
      <c r="G703" s="3"/>
      <c r="I703" s="3"/>
      <c r="K703" s="3"/>
      <c r="M703" s="3"/>
      <c r="N703" s="4"/>
      <c r="O703" s="3"/>
    </row>
    <row r="704" spans="5:15" ht="15.75" customHeight="1" x14ac:dyDescent="0.2">
      <c r="E704" s="3"/>
      <c r="G704" s="3"/>
      <c r="I704" s="3"/>
      <c r="K704" s="3"/>
      <c r="M704" s="3"/>
      <c r="N704" s="4"/>
      <c r="O704" s="3"/>
    </row>
    <row r="705" spans="5:15" ht="15.75" customHeight="1" x14ac:dyDescent="0.2">
      <c r="E705" s="3"/>
      <c r="G705" s="3"/>
      <c r="I705" s="3"/>
      <c r="K705" s="3"/>
      <c r="M705" s="3"/>
      <c r="N705" s="4"/>
      <c r="O705" s="3"/>
    </row>
    <row r="706" spans="5:15" ht="15.75" customHeight="1" x14ac:dyDescent="0.2">
      <c r="E706" s="3"/>
      <c r="G706" s="3"/>
      <c r="I706" s="3"/>
      <c r="K706" s="3"/>
      <c r="M706" s="3"/>
      <c r="N706" s="4"/>
      <c r="O706" s="3"/>
    </row>
    <row r="707" spans="5:15" ht="15.75" customHeight="1" x14ac:dyDescent="0.2">
      <c r="E707" s="3"/>
      <c r="G707" s="3"/>
      <c r="I707" s="3"/>
      <c r="K707" s="3"/>
      <c r="M707" s="3"/>
      <c r="N707" s="4"/>
      <c r="O707" s="3"/>
    </row>
    <row r="708" spans="5:15" ht="15.75" customHeight="1" x14ac:dyDescent="0.2">
      <c r="E708" s="3"/>
      <c r="G708" s="3"/>
      <c r="I708" s="3"/>
      <c r="K708" s="3"/>
      <c r="M708" s="3"/>
      <c r="N708" s="4"/>
      <c r="O708" s="3"/>
    </row>
    <row r="709" spans="5:15" ht="15.75" customHeight="1" x14ac:dyDescent="0.2">
      <c r="E709" s="3"/>
      <c r="G709" s="3"/>
      <c r="I709" s="3"/>
      <c r="K709" s="3"/>
      <c r="M709" s="3"/>
      <c r="N709" s="4"/>
      <c r="O709" s="3"/>
    </row>
    <row r="710" spans="5:15" ht="15.75" customHeight="1" x14ac:dyDescent="0.2">
      <c r="E710" s="3"/>
      <c r="G710" s="3"/>
      <c r="I710" s="3"/>
      <c r="K710" s="3"/>
      <c r="M710" s="3"/>
      <c r="N710" s="4"/>
      <c r="O710" s="3"/>
    </row>
    <row r="711" spans="5:15" ht="15.75" customHeight="1" x14ac:dyDescent="0.2">
      <c r="E711" s="3"/>
      <c r="G711" s="3"/>
      <c r="I711" s="3"/>
      <c r="K711" s="3"/>
      <c r="M711" s="3"/>
      <c r="N711" s="4"/>
      <c r="O711" s="3"/>
    </row>
    <row r="712" spans="5:15" ht="15.75" customHeight="1" x14ac:dyDescent="0.2">
      <c r="E712" s="3"/>
      <c r="G712" s="3"/>
      <c r="I712" s="3"/>
      <c r="K712" s="3"/>
      <c r="M712" s="3"/>
      <c r="N712" s="4"/>
      <c r="O712" s="3"/>
    </row>
    <row r="713" spans="5:15" ht="15.75" customHeight="1" x14ac:dyDescent="0.2">
      <c r="E713" s="3"/>
      <c r="G713" s="3"/>
      <c r="I713" s="3"/>
      <c r="K713" s="3"/>
      <c r="M713" s="3"/>
      <c r="N713" s="4"/>
      <c r="O713" s="3"/>
    </row>
    <row r="714" spans="5:15" ht="15.75" customHeight="1" x14ac:dyDescent="0.2">
      <c r="E714" s="3"/>
      <c r="G714" s="3"/>
      <c r="I714" s="3"/>
      <c r="K714" s="3"/>
      <c r="M714" s="3"/>
      <c r="N714" s="4"/>
      <c r="O714" s="3"/>
    </row>
    <row r="715" spans="5:15" ht="15.75" customHeight="1" x14ac:dyDescent="0.2">
      <c r="E715" s="3"/>
      <c r="G715" s="3"/>
      <c r="I715" s="3"/>
      <c r="K715" s="3"/>
      <c r="M715" s="3"/>
      <c r="N715" s="4"/>
      <c r="O715" s="3"/>
    </row>
    <row r="716" spans="5:15" ht="15.75" customHeight="1" x14ac:dyDescent="0.2">
      <c r="E716" s="3"/>
      <c r="G716" s="3"/>
      <c r="I716" s="3"/>
      <c r="K716" s="3"/>
      <c r="M716" s="3"/>
      <c r="N716" s="4"/>
      <c r="O716" s="3"/>
    </row>
    <row r="717" spans="5:15" ht="15.75" customHeight="1" x14ac:dyDescent="0.2">
      <c r="E717" s="3"/>
      <c r="G717" s="3"/>
      <c r="I717" s="3"/>
      <c r="K717" s="3"/>
      <c r="M717" s="3"/>
      <c r="N717" s="4"/>
      <c r="O717" s="3"/>
    </row>
    <row r="718" spans="5:15" ht="15.75" customHeight="1" x14ac:dyDescent="0.2">
      <c r="E718" s="3"/>
      <c r="G718" s="3"/>
      <c r="I718" s="3"/>
      <c r="K718" s="3"/>
      <c r="M718" s="3"/>
      <c r="N718" s="4"/>
      <c r="O718" s="3"/>
    </row>
    <row r="719" spans="5:15" ht="15.75" customHeight="1" x14ac:dyDescent="0.2">
      <c r="E719" s="3"/>
      <c r="G719" s="3"/>
      <c r="I719" s="3"/>
      <c r="K719" s="3"/>
      <c r="M719" s="3"/>
      <c r="N719" s="4"/>
      <c r="O719" s="3"/>
    </row>
    <row r="720" spans="5:15" ht="15.75" customHeight="1" x14ac:dyDescent="0.2">
      <c r="E720" s="3"/>
      <c r="G720" s="3"/>
      <c r="I720" s="3"/>
      <c r="K720" s="3"/>
      <c r="M720" s="3"/>
      <c r="N720" s="4"/>
      <c r="O720" s="3"/>
    </row>
    <row r="721" spans="5:15" ht="15.75" customHeight="1" x14ac:dyDescent="0.2">
      <c r="E721" s="3"/>
      <c r="G721" s="3"/>
      <c r="I721" s="3"/>
      <c r="K721" s="3"/>
      <c r="M721" s="3"/>
      <c r="N721" s="4"/>
      <c r="O721" s="3"/>
    </row>
    <row r="722" spans="5:15" ht="15.75" customHeight="1" x14ac:dyDescent="0.2">
      <c r="E722" s="3"/>
      <c r="G722" s="3"/>
      <c r="I722" s="3"/>
      <c r="K722" s="3"/>
      <c r="M722" s="3"/>
      <c r="N722" s="4"/>
      <c r="O722" s="3"/>
    </row>
    <row r="723" spans="5:15" ht="15.75" customHeight="1" x14ac:dyDescent="0.2">
      <c r="E723" s="3"/>
      <c r="G723" s="3"/>
      <c r="I723" s="3"/>
      <c r="K723" s="3"/>
      <c r="M723" s="3"/>
      <c r="N723" s="4"/>
      <c r="O723" s="3"/>
    </row>
    <row r="724" spans="5:15" ht="15.75" customHeight="1" x14ac:dyDescent="0.2">
      <c r="E724" s="3"/>
      <c r="G724" s="3"/>
      <c r="I724" s="3"/>
      <c r="K724" s="3"/>
      <c r="M724" s="3"/>
      <c r="N724" s="4"/>
      <c r="O724" s="3"/>
    </row>
    <row r="725" spans="5:15" ht="15.75" customHeight="1" x14ac:dyDescent="0.2">
      <c r="E725" s="3"/>
      <c r="G725" s="3"/>
      <c r="I725" s="3"/>
      <c r="K725" s="3"/>
      <c r="M725" s="3"/>
      <c r="N725" s="4"/>
      <c r="O725" s="3"/>
    </row>
    <row r="726" spans="5:15" ht="15.75" customHeight="1" x14ac:dyDescent="0.2">
      <c r="E726" s="3"/>
      <c r="G726" s="3"/>
      <c r="I726" s="3"/>
      <c r="K726" s="3"/>
      <c r="M726" s="3"/>
      <c r="N726" s="4"/>
      <c r="O726" s="3"/>
    </row>
    <row r="727" spans="5:15" ht="15.75" customHeight="1" x14ac:dyDescent="0.2">
      <c r="E727" s="3"/>
      <c r="G727" s="3"/>
      <c r="I727" s="3"/>
      <c r="K727" s="3"/>
      <c r="M727" s="3"/>
      <c r="N727" s="4"/>
      <c r="O727" s="3"/>
    </row>
    <row r="728" spans="5:15" ht="15.75" customHeight="1" x14ac:dyDescent="0.2">
      <c r="E728" s="3"/>
      <c r="G728" s="3"/>
      <c r="I728" s="3"/>
      <c r="K728" s="3"/>
      <c r="M728" s="3"/>
      <c r="N728" s="4"/>
      <c r="O728" s="3"/>
    </row>
    <row r="729" spans="5:15" ht="15.75" customHeight="1" x14ac:dyDescent="0.2">
      <c r="E729" s="3"/>
      <c r="G729" s="3"/>
      <c r="I729" s="3"/>
      <c r="K729" s="3"/>
      <c r="M729" s="3"/>
      <c r="N729" s="4"/>
      <c r="O729" s="3"/>
    </row>
    <row r="730" spans="5:15" ht="15.75" customHeight="1" x14ac:dyDescent="0.2">
      <c r="E730" s="3"/>
      <c r="G730" s="3"/>
      <c r="I730" s="3"/>
      <c r="K730" s="3"/>
      <c r="M730" s="3"/>
      <c r="N730" s="4"/>
      <c r="O730" s="3"/>
    </row>
    <row r="731" spans="5:15" ht="15.75" customHeight="1" x14ac:dyDescent="0.2">
      <c r="E731" s="3"/>
      <c r="G731" s="3"/>
      <c r="I731" s="3"/>
      <c r="K731" s="3"/>
      <c r="M731" s="3"/>
      <c r="N731" s="4"/>
      <c r="O731" s="3"/>
    </row>
    <row r="732" spans="5:15" ht="15.75" customHeight="1" x14ac:dyDescent="0.2">
      <c r="E732" s="3"/>
      <c r="G732" s="3"/>
      <c r="I732" s="3"/>
      <c r="K732" s="3"/>
      <c r="M732" s="3"/>
      <c r="N732" s="4"/>
      <c r="O732" s="3"/>
    </row>
    <row r="733" spans="5:15" ht="15.75" customHeight="1" x14ac:dyDescent="0.2">
      <c r="E733" s="3"/>
      <c r="G733" s="3"/>
      <c r="I733" s="3"/>
      <c r="K733" s="3"/>
      <c r="M733" s="3"/>
      <c r="N733" s="4"/>
      <c r="O733" s="3"/>
    </row>
    <row r="734" spans="5:15" ht="15.75" customHeight="1" x14ac:dyDescent="0.2">
      <c r="E734" s="3"/>
      <c r="G734" s="3"/>
      <c r="I734" s="3"/>
      <c r="K734" s="3"/>
      <c r="M734" s="3"/>
      <c r="N734" s="4"/>
      <c r="O734" s="3"/>
    </row>
    <row r="735" spans="5:15" ht="15.75" customHeight="1" x14ac:dyDescent="0.2">
      <c r="E735" s="3"/>
      <c r="G735" s="3"/>
      <c r="I735" s="3"/>
      <c r="K735" s="3"/>
      <c r="M735" s="3"/>
      <c r="N735" s="4"/>
      <c r="O735" s="3"/>
    </row>
    <row r="736" spans="5:15" ht="15.75" customHeight="1" x14ac:dyDescent="0.2">
      <c r="E736" s="3"/>
      <c r="G736" s="3"/>
      <c r="I736" s="3"/>
      <c r="K736" s="3"/>
      <c r="M736" s="3"/>
      <c r="N736" s="4"/>
      <c r="O736" s="3"/>
    </row>
    <row r="737" spans="5:15" ht="15.75" customHeight="1" x14ac:dyDescent="0.2">
      <c r="E737" s="3"/>
      <c r="G737" s="3"/>
      <c r="I737" s="3"/>
      <c r="K737" s="3"/>
      <c r="M737" s="3"/>
      <c r="N737" s="4"/>
      <c r="O737" s="3"/>
    </row>
    <row r="738" spans="5:15" ht="15.75" customHeight="1" x14ac:dyDescent="0.2">
      <c r="E738" s="3"/>
      <c r="G738" s="3"/>
      <c r="I738" s="3"/>
      <c r="K738" s="3"/>
      <c r="M738" s="3"/>
      <c r="N738" s="4"/>
      <c r="O738" s="3"/>
    </row>
    <row r="739" spans="5:15" ht="15.75" customHeight="1" x14ac:dyDescent="0.2">
      <c r="E739" s="3"/>
      <c r="G739" s="3"/>
      <c r="I739" s="3"/>
      <c r="K739" s="3"/>
      <c r="M739" s="3"/>
      <c r="N739" s="4"/>
      <c r="O739" s="3"/>
    </row>
    <row r="740" spans="5:15" ht="15.75" customHeight="1" x14ac:dyDescent="0.2">
      <c r="E740" s="3"/>
      <c r="G740" s="3"/>
      <c r="I740" s="3"/>
      <c r="K740" s="3"/>
      <c r="M740" s="3"/>
      <c r="N740" s="4"/>
      <c r="O740" s="3"/>
    </row>
    <row r="741" spans="5:15" ht="15.75" customHeight="1" x14ac:dyDescent="0.2">
      <c r="E741" s="3"/>
      <c r="G741" s="3"/>
      <c r="I741" s="3"/>
      <c r="K741" s="3"/>
      <c r="M741" s="3"/>
      <c r="N741" s="4"/>
      <c r="O741" s="3"/>
    </row>
    <row r="742" spans="5:15" ht="15.75" customHeight="1" x14ac:dyDescent="0.2">
      <c r="E742" s="3"/>
      <c r="G742" s="3"/>
      <c r="I742" s="3"/>
      <c r="K742" s="3"/>
      <c r="M742" s="3"/>
      <c r="N742" s="4"/>
      <c r="O742" s="3"/>
    </row>
    <row r="743" spans="5:15" ht="15.75" customHeight="1" x14ac:dyDescent="0.2">
      <c r="E743" s="3"/>
      <c r="G743" s="3"/>
      <c r="I743" s="3"/>
      <c r="K743" s="3"/>
      <c r="M743" s="3"/>
      <c r="N743" s="4"/>
      <c r="O743" s="3"/>
    </row>
    <row r="744" spans="5:15" ht="15.75" customHeight="1" x14ac:dyDescent="0.2">
      <c r="E744" s="3"/>
      <c r="G744" s="3"/>
      <c r="I744" s="3"/>
      <c r="K744" s="3"/>
      <c r="M744" s="3"/>
      <c r="N744" s="4"/>
      <c r="O744" s="3"/>
    </row>
    <row r="745" spans="5:15" ht="15.75" customHeight="1" x14ac:dyDescent="0.2">
      <c r="E745" s="3"/>
      <c r="G745" s="3"/>
      <c r="I745" s="3"/>
      <c r="K745" s="3"/>
      <c r="M745" s="3"/>
      <c r="N745" s="4"/>
      <c r="O745" s="3"/>
    </row>
    <row r="746" spans="5:15" ht="15.75" customHeight="1" x14ac:dyDescent="0.2">
      <c r="E746" s="3"/>
      <c r="G746" s="3"/>
      <c r="I746" s="3"/>
      <c r="K746" s="3"/>
      <c r="M746" s="3"/>
      <c r="N746" s="4"/>
      <c r="O746" s="3"/>
    </row>
    <row r="747" spans="5:15" ht="15.75" customHeight="1" x14ac:dyDescent="0.2">
      <c r="E747" s="3"/>
      <c r="G747" s="3"/>
      <c r="I747" s="3"/>
      <c r="K747" s="3"/>
      <c r="M747" s="3"/>
      <c r="N747" s="4"/>
      <c r="O747" s="3"/>
    </row>
    <row r="748" spans="5:15" ht="15.75" customHeight="1" x14ac:dyDescent="0.2">
      <c r="E748" s="3"/>
      <c r="G748" s="3"/>
      <c r="I748" s="3"/>
      <c r="K748" s="3"/>
      <c r="M748" s="3"/>
      <c r="N748" s="4"/>
      <c r="O748" s="3"/>
    </row>
    <row r="749" spans="5:15" ht="15.75" customHeight="1" x14ac:dyDescent="0.2">
      <c r="E749" s="3"/>
      <c r="G749" s="3"/>
      <c r="I749" s="3"/>
      <c r="K749" s="3"/>
      <c r="M749" s="3"/>
      <c r="N749" s="4"/>
      <c r="O749" s="3"/>
    </row>
    <row r="750" spans="5:15" ht="15.75" customHeight="1" x14ac:dyDescent="0.2">
      <c r="E750" s="3"/>
      <c r="G750" s="3"/>
      <c r="I750" s="3"/>
      <c r="K750" s="3"/>
      <c r="M750" s="3"/>
      <c r="N750" s="4"/>
      <c r="O750" s="3"/>
    </row>
    <row r="751" spans="5:15" ht="15.75" customHeight="1" x14ac:dyDescent="0.2">
      <c r="E751" s="3"/>
      <c r="G751" s="3"/>
      <c r="I751" s="3"/>
      <c r="K751" s="3"/>
      <c r="M751" s="3"/>
      <c r="N751" s="4"/>
      <c r="O751" s="3"/>
    </row>
    <row r="752" spans="5:15" ht="15.75" customHeight="1" x14ac:dyDescent="0.2">
      <c r="E752" s="3"/>
      <c r="G752" s="3"/>
      <c r="I752" s="3"/>
      <c r="K752" s="3"/>
      <c r="M752" s="3"/>
      <c r="N752" s="4"/>
      <c r="O752" s="3"/>
    </row>
    <row r="753" spans="5:15" ht="15.75" customHeight="1" x14ac:dyDescent="0.2">
      <c r="E753" s="3"/>
      <c r="G753" s="3"/>
      <c r="I753" s="3"/>
      <c r="K753" s="3"/>
      <c r="M753" s="3"/>
      <c r="N753" s="4"/>
      <c r="O753" s="3"/>
    </row>
    <row r="754" spans="5:15" ht="15.75" customHeight="1" x14ac:dyDescent="0.2">
      <c r="E754" s="3"/>
      <c r="G754" s="3"/>
      <c r="I754" s="3"/>
      <c r="K754" s="3"/>
      <c r="M754" s="3"/>
      <c r="N754" s="4"/>
      <c r="O754" s="3"/>
    </row>
    <row r="755" spans="5:15" ht="15.75" customHeight="1" x14ac:dyDescent="0.2">
      <c r="E755" s="3"/>
      <c r="G755" s="3"/>
      <c r="I755" s="3"/>
      <c r="K755" s="3"/>
      <c r="M755" s="3"/>
      <c r="N755" s="4"/>
      <c r="O755" s="3"/>
    </row>
    <row r="756" spans="5:15" ht="15.75" customHeight="1" x14ac:dyDescent="0.2">
      <c r="E756" s="3"/>
      <c r="G756" s="3"/>
      <c r="I756" s="3"/>
      <c r="K756" s="3"/>
      <c r="M756" s="3"/>
      <c r="N756" s="4"/>
      <c r="O756" s="3"/>
    </row>
    <row r="757" spans="5:15" ht="15.75" customHeight="1" x14ac:dyDescent="0.2">
      <c r="E757" s="3"/>
      <c r="G757" s="3"/>
      <c r="I757" s="3"/>
      <c r="K757" s="3"/>
      <c r="M757" s="3"/>
      <c r="N757" s="4"/>
      <c r="O757" s="3"/>
    </row>
    <row r="758" spans="5:15" ht="15.75" customHeight="1" x14ac:dyDescent="0.2">
      <c r="E758" s="3"/>
      <c r="G758" s="3"/>
      <c r="I758" s="3"/>
      <c r="K758" s="3"/>
      <c r="M758" s="3"/>
      <c r="N758" s="4"/>
      <c r="O758" s="3"/>
    </row>
    <row r="759" spans="5:15" ht="15.75" customHeight="1" x14ac:dyDescent="0.2">
      <c r="E759" s="3"/>
      <c r="G759" s="3"/>
      <c r="I759" s="3"/>
      <c r="K759" s="3"/>
      <c r="M759" s="3"/>
      <c r="N759" s="4"/>
      <c r="O759" s="3"/>
    </row>
    <row r="760" spans="5:15" ht="15.75" customHeight="1" x14ac:dyDescent="0.2">
      <c r="E760" s="3"/>
      <c r="G760" s="3"/>
      <c r="I760" s="3"/>
      <c r="K760" s="3"/>
      <c r="M760" s="3"/>
      <c r="N760" s="4"/>
      <c r="O760" s="3"/>
    </row>
    <row r="761" spans="5:15" ht="15.75" customHeight="1" x14ac:dyDescent="0.2">
      <c r="E761" s="3"/>
      <c r="G761" s="3"/>
      <c r="I761" s="3"/>
      <c r="K761" s="3"/>
      <c r="M761" s="3"/>
      <c r="N761" s="4"/>
      <c r="O761" s="3"/>
    </row>
    <row r="762" spans="5:15" ht="15.75" customHeight="1" x14ac:dyDescent="0.2">
      <c r="E762" s="3"/>
      <c r="G762" s="3"/>
      <c r="I762" s="3"/>
      <c r="K762" s="3"/>
      <c r="M762" s="3"/>
      <c r="N762" s="4"/>
      <c r="O762" s="3"/>
    </row>
    <row r="763" spans="5:15" ht="15.75" customHeight="1" x14ac:dyDescent="0.2">
      <c r="E763" s="3"/>
      <c r="G763" s="3"/>
      <c r="I763" s="3"/>
      <c r="K763" s="3"/>
      <c r="M763" s="3"/>
      <c r="N763" s="4"/>
      <c r="O763" s="3"/>
    </row>
    <row r="764" spans="5:15" ht="15.75" customHeight="1" x14ac:dyDescent="0.2">
      <c r="E764" s="3"/>
      <c r="G764" s="3"/>
      <c r="I764" s="3"/>
      <c r="K764" s="3"/>
      <c r="M764" s="3"/>
      <c r="N764" s="4"/>
      <c r="O764" s="3"/>
    </row>
    <row r="765" spans="5:15" ht="15.75" customHeight="1" x14ac:dyDescent="0.2">
      <c r="E765" s="3"/>
      <c r="G765" s="3"/>
      <c r="I765" s="3"/>
      <c r="K765" s="3"/>
      <c r="M765" s="3"/>
      <c r="N765" s="4"/>
      <c r="O765" s="3"/>
    </row>
    <row r="766" spans="5:15" ht="15.75" customHeight="1" x14ac:dyDescent="0.2">
      <c r="E766" s="3"/>
      <c r="G766" s="3"/>
      <c r="I766" s="3"/>
      <c r="K766" s="3"/>
      <c r="M766" s="3"/>
      <c r="N766" s="4"/>
      <c r="O766" s="3"/>
    </row>
    <row r="767" spans="5:15" ht="15.75" customHeight="1" x14ac:dyDescent="0.2">
      <c r="E767" s="3"/>
      <c r="G767" s="3"/>
      <c r="I767" s="3"/>
      <c r="K767" s="3"/>
      <c r="M767" s="3"/>
      <c r="N767" s="4"/>
      <c r="O767" s="3"/>
    </row>
    <row r="768" spans="5:15" ht="15.75" customHeight="1" x14ac:dyDescent="0.2">
      <c r="E768" s="3"/>
      <c r="G768" s="3"/>
      <c r="I768" s="3"/>
      <c r="K768" s="3"/>
      <c r="M768" s="3"/>
      <c r="N768" s="4"/>
      <c r="O768" s="3"/>
    </row>
    <row r="769" spans="5:15" ht="15.75" customHeight="1" x14ac:dyDescent="0.2">
      <c r="E769" s="3"/>
      <c r="G769" s="3"/>
      <c r="I769" s="3"/>
      <c r="K769" s="3"/>
      <c r="M769" s="3"/>
      <c r="N769" s="4"/>
      <c r="O769" s="3"/>
    </row>
    <row r="770" spans="5:15" ht="15.75" customHeight="1" x14ac:dyDescent="0.2">
      <c r="E770" s="3"/>
      <c r="G770" s="3"/>
      <c r="I770" s="3"/>
      <c r="K770" s="3"/>
      <c r="M770" s="3"/>
      <c r="N770" s="4"/>
      <c r="O770" s="3"/>
    </row>
    <row r="771" spans="5:15" ht="15.75" customHeight="1" x14ac:dyDescent="0.2">
      <c r="E771" s="3"/>
      <c r="G771" s="3"/>
      <c r="I771" s="3"/>
      <c r="K771" s="3"/>
      <c r="M771" s="3"/>
      <c r="N771" s="4"/>
      <c r="O771" s="3"/>
    </row>
    <row r="772" spans="5:15" ht="15.75" customHeight="1" x14ac:dyDescent="0.2">
      <c r="E772" s="3"/>
      <c r="G772" s="3"/>
      <c r="I772" s="3"/>
      <c r="K772" s="3"/>
      <c r="M772" s="3"/>
      <c r="N772" s="4"/>
      <c r="O772" s="3"/>
    </row>
    <row r="773" spans="5:15" ht="15.75" customHeight="1" x14ac:dyDescent="0.2">
      <c r="E773" s="3"/>
      <c r="G773" s="3"/>
      <c r="I773" s="3"/>
      <c r="K773" s="3"/>
      <c r="M773" s="3"/>
      <c r="N773" s="4"/>
      <c r="O773" s="3"/>
    </row>
    <row r="774" spans="5:15" ht="15.75" customHeight="1" x14ac:dyDescent="0.2">
      <c r="E774" s="3"/>
      <c r="G774" s="3"/>
      <c r="I774" s="3"/>
      <c r="K774" s="3"/>
      <c r="M774" s="3"/>
      <c r="N774" s="4"/>
      <c r="O774" s="3"/>
    </row>
    <row r="775" spans="5:15" ht="15.75" customHeight="1" x14ac:dyDescent="0.2">
      <c r="E775" s="3"/>
      <c r="G775" s="3"/>
      <c r="I775" s="3"/>
      <c r="K775" s="3"/>
      <c r="M775" s="3"/>
      <c r="N775" s="4"/>
      <c r="O775" s="3"/>
    </row>
    <row r="776" spans="5:15" ht="15.75" customHeight="1" x14ac:dyDescent="0.2">
      <c r="E776" s="3"/>
      <c r="G776" s="3"/>
      <c r="I776" s="3"/>
      <c r="K776" s="3"/>
      <c r="M776" s="3"/>
      <c r="N776" s="4"/>
      <c r="O776" s="3"/>
    </row>
    <row r="777" spans="5:15" ht="15.75" customHeight="1" x14ac:dyDescent="0.2">
      <c r="E777" s="3"/>
      <c r="G777" s="3"/>
      <c r="I777" s="3"/>
      <c r="K777" s="3"/>
      <c r="M777" s="3"/>
      <c r="N777" s="4"/>
      <c r="O777" s="3"/>
    </row>
    <row r="778" spans="5:15" ht="15.75" customHeight="1" x14ac:dyDescent="0.2">
      <c r="E778" s="3"/>
      <c r="G778" s="3"/>
      <c r="I778" s="3"/>
      <c r="K778" s="3"/>
      <c r="M778" s="3"/>
      <c r="N778" s="4"/>
      <c r="O778" s="3"/>
    </row>
    <row r="779" spans="5:15" ht="15.75" customHeight="1" x14ac:dyDescent="0.2">
      <c r="E779" s="3"/>
      <c r="G779" s="3"/>
      <c r="I779" s="3"/>
      <c r="K779" s="3"/>
      <c r="M779" s="3"/>
      <c r="N779" s="4"/>
      <c r="O779" s="3"/>
    </row>
    <row r="780" spans="5:15" ht="15.75" customHeight="1" x14ac:dyDescent="0.2">
      <c r="E780" s="3"/>
      <c r="G780" s="3"/>
      <c r="I780" s="3"/>
      <c r="K780" s="3"/>
      <c r="M780" s="3"/>
      <c r="N780" s="4"/>
      <c r="O780" s="3"/>
    </row>
    <row r="781" spans="5:15" ht="15.75" customHeight="1" x14ac:dyDescent="0.2">
      <c r="E781" s="3"/>
      <c r="G781" s="3"/>
      <c r="I781" s="3"/>
      <c r="K781" s="3"/>
      <c r="M781" s="3"/>
      <c r="N781" s="4"/>
      <c r="O781" s="3"/>
    </row>
    <row r="782" spans="5:15" ht="15.75" customHeight="1" x14ac:dyDescent="0.2">
      <c r="E782" s="3"/>
      <c r="G782" s="3"/>
      <c r="I782" s="3"/>
      <c r="K782" s="3"/>
      <c r="M782" s="3"/>
      <c r="N782" s="4"/>
      <c r="O782" s="3"/>
    </row>
    <row r="783" spans="5:15" ht="15.75" customHeight="1" x14ac:dyDescent="0.2">
      <c r="E783" s="3"/>
      <c r="G783" s="3"/>
      <c r="I783" s="3"/>
      <c r="K783" s="3"/>
      <c r="M783" s="3"/>
      <c r="N783" s="4"/>
      <c r="O783" s="3"/>
    </row>
    <row r="784" spans="5:15" ht="15.75" customHeight="1" x14ac:dyDescent="0.2">
      <c r="E784" s="3"/>
      <c r="G784" s="3"/>
      <c r="I784" s="3"/>
      <c r="K784" s="3"/>
      <c r="M784" s="3"/>
      <c r="N784" s="4"/>
      <c r="O784" s="3"/>
    </row>
    <row r="785" spans="5:15" ht="15.75" customHeight="1" x14ac:dyDescent="0.2">
      <c r="E785" s="3"/>
      <c r="G785" s="3"/>
      <c r="I785" s="3"/>
      <c r="K785" s="3"/>
      <c r="M785" s="3"/>
      <c r="N785" s="4"/>
      <c r="O785" s="3"/>
    </row>
    <row r="786" spans="5:15" ht="15.75" customHeight="1" x14ac:dyDescent="0.2">
      <c r="E786" s="3"/>
      <c r="G786" s="3"/>
      <c r="I786" s="3"/>
      <c r="K786" s="3"/>
      <c r="M786" s="3"/>
      <c r="N786" s="4"/>
      <c r="O786" s="3"/>
    </row>
    <row r="787" spans="5:15" ht="15.75" customHeight="1" x14ac:dyDescent="0.2">
      <c r="E787" s="3"/>
      <c r="G787" s="3"/>
      <c r="I787" s="3"/>
      <c r="K787" s="3"/>
      <c r="M787" s="3"/>
      <c r="N787" s="4"/>
      <c r="O787" s="3"/>
    </row>
    <row r="788" spans="5:15" ht="15.75" customHeight="1" x14ac:dyDescent="0.2">
      <c r="E788" s="3"/>
      <c r="G788" s="3"/>
      <c r="I788" s="3"/>
      <c r="K788" s="3"/>
      <c r="M788" s="3"/>
      <c r="N788" s="4"/>
      <c r="O788" s="3"/>
    </row>
    <row r="789" spans="5:15" ht="15.75" customHeight="1" x14ac:dyDescent="0.2">
      <c r="E789" s="3"/>
      <c r="G789" s="3"/>
      <c r="I789" s="3"/>
      <c r="K789" s="3"/>
      <c r="M789" s="3"/>
      <c r="N789" s="4"/>
      <c r="O789" s="3"/>
    </row>
    <row r="790" spans="5:15" ht="15.75" customHeight="1" x14ac:dyDescent="0.2">
      <c r="E790" s="3"/>
      <c r="G790" s="3"/>
      <c r="I790" s="3"/>
      <c r="K790" s="3"/>
      <c r="M790" s="3"/>
      <c r="N790" s="4"/>
      <c r="O790" s="3"/>
    </row>
    <row r="791" spans="5:15" ht="15.75" customHeight="1" x14ac:dyDescent="0.2">
      <c r="E791" s="3"/>
      <c r="G791" s="3"/>
      <c r="I791" s="3"/>
      <c r="K791" s="3"/>
      <c r="M791" s="3"/>
      <c r="N791" s="4"/>
      <c r="O791" s="3"/>
    </row>
    <row r="792" spans="5:15" ht="15.75" customHeight="1" x14ac:dyDescent="0.2">
      <c r="E792" s="3"/>
      <c r="G792" s="3"/>
      <c r="I792" s="3"/>
      <c r="K792" s="3"/>
      <c r="M792" s="3"/>
      <c r="N792" s="4"/>
      <c r="O792" s="3"/>
    </row>
    <row r="793" spans="5:15" ht="15.75" customHeight="1" x14ac:dyDescent="0.2">
      <c r="E793" s="3"/>
      <c r="G793" s="3"/>
      <c r="I793" s="3"/>
      <c r="K793" s="3"/>
      <c r="M793" s="3"/>
      <c r="N793" s="4"/>
      <c r="O793" s="3"/>
    </row>
    <row r="794" spans="5:15" ht="15.75" customHeight="1" x14ac:dyDescent="0.2">
      <c r="E794" s="3"/>
      <c r="G794" s="3"/>
      <c r="I794" s="3"/>
      <c r="K794" s="3"/>
      <c r="M794" s="3"/>
      <c r="N794" s="4"/>
      <c r="O794" s="3"/>
    </row>
    <row r="795" spans="5:15" ht="15.75" customHeight="1" x14ac:dyDescent="0.2">
      <c r="E795" s="3"/>
      <c r="G795" s="3"/>
      <c r="I795" s="3"/>
      <c r="K795" s="3"/>
      <c r="M795" s="3"/>
      <c r="N795" s="4"/>
      <c r="O795" s="3"/>
    </row>
    <row r="796" spans="5:15" ht="15.75" customHeight="1" x14ac:dyDescent="0.2">
      <c r="E796" s="3"/>
      <c r="G796" s="3"/>
      <c r="I796" s="3"/>
      <c r="K796" s="3"/>
      <c r="M796" s="3"/>
      <c r="N796" s="4"/>
      <c r="O796" s="3"/>
    </row>
    <row r="797" spans="5:15" ht="15.75" customHeight="1" x14ac:dyDescent="0.2">
      <c r="E797" s="3"/>
      <c r="G797" s="3"/>
      <c r="I797" s="3"/>
      <c r="K797" s="3"/>
      <c r="M797" s="3"/>
      <c r="N797" s="4"/>
      <c r="O797" s="3"/>
    </row>
    <row r="798" spans="5:15" ht="15.75" customHeight="1" x14ac:dyDescent="0.2">
      <c r="E798" s="3"/>
      <c r="G798" s="3"/>
      <c r="I798" s="3"/>
      <c r="K798" s="3"/>
      <c r="M798" s="3"/>
      <c r="N798" s="4"/>
      <c r="O798" s="3"/>
    </row>
    <row r="799" spans="5:15" ht="15.75" customHeight="1" x14ac:dyDescent="0.2">
      <c r="E799" s="3"/>
      <c r="G799" s="3"/>
      <c r="I799" s="3"/>
      <c r="K799" s="3"/>
      <c r="M799" s="3"/>
      <c r="N799" s="4"/>
      <c r="O799" s="3"/>
    </row>
    <row r="800" spans="5:15" ht="15.75" customHeight="1" x14ac:dyDescent="0.2">
      <c r="E800" s="3"/>
      <c r="G800" s="3"/>
      <c r="I800" s="3"/>
      <c r="K800" s="3"/>
      <c r="M800" s="3"/>
      <c r="N800" s="4"/>
      <c r="O800" s="3"/>
    </row>
    <row r="801" spans="5:15" ht="15.75" customHeight="1" x14ac:dyDescent="0.2">
      <c r="E801" s="3"/>
      <c r="G801" s="3"/>
      <c r="I801" s="3"/>
      <c r="K801" s="3"/>
      <c r="M801" s="3"/>
      <c r="N801" s="4"/>
      <c r="O801" s="3"/>
    </row>
    <row r="802" spans="5:15" ht="15.75" customHeight="1" x14ac:dyDescent="0.2">
      <c r="E802" s="3"/>
      <c r="G802" s="3"/>
      <c r="I802" s="3"/>
      <c r="K802" s="3"/>
      <c r="M802" s="3"/>
      <c r="N802" s="4"/>
      <c r="O802" s="3"/>
    </row>
    <row r="803" spans="5:15" ht="15.75" customHeight="1" x14ac:dyDescent="0.2">
      <c r="E803" s="3"/>
      <c r="G803" s="3"/>
      <c r="I803" s="3"/>
      <c r="K803" s="3"/>
      <c r="M803" s="3"/>
      <c r="N803" s="4"/>
      <c r="O803" s="3"/>
    </row>
    <row r="804" spans="5:15" ht="15.75" customHeight="1" x14ac:dyDescent="0.2">
      <c r="E804" s="3"/>
      <c r="G804" s="3"/>
      <c r="I804" s="3"/>
      <c r="K804" s="3"/>
      <c r="M804" s="3"/>
      <c r="N804" s="4"/>
      <c r="O804" s="3"/>
    </row>
    <row r="805" spans="5:15" ht="15.75" customHeight="1" x14ac:dyDescent="0.2">
      <c r="E805" s="3"/>
      <c r="G805" s="3"/>
      <c r="I805" s="3"/>
      <c r="K805" s="3"/>
      <c r="M805" s="3"/>
      <c r="N805" s="4"/>
      <c r="O805" s="3"/>
    </row>
    <row r="806" spans="5:15" ht="15.75" customHeight="1" x14ac:dyDescent="0.2">
      <c r="E806" s="3"/>
      <c r="G806" s="3"/>
      <c r="I806" s="3"/>
      <c r="K806" s="3"/>
      <c r="M806" s="3"/>
      <c r="N806" s="4"/>
      <c r="O806" s="3"/>
    </row>
    <row r="807" spans="5:15" ht="15.75" customHeight="1" x14ac:dyDescent="0.2">
      <c r="E807" s="3"/>
      <c r="G807" s="3"/>
      <c r="I807" s="3"/>
      <c r="K807" s="3"/>
      <c r="M807" s="3"/>
      <c r="N807" s="4"/>
      <c r="O807" s="3"/>
    </row>
    <row r="808" spans="5:15" ht="15.75" customHeight="1" x14ac:dyDescent="0.2">
      <c r="E808" s="3"/>
      <c r="G808" s="3"/>
      <c r="I808" s="3"/>
      <c r="K808" s="3"/>
      <c r="M808" s="3"/>
      <c r="N808" s="4"/>
      <c r="O808" s="3"/>
    </row>
    <row r="809" spans="5:15" ht="15.75" customHeight="1" x14ac:dyDescent="0.2">
      <c r="E809" s="3"/>
      <c r="G809" s="3"/>
      <c r="I809" s="3"/>
      <c r="K809" s="3"/>
      <c r="M809" s="3"/>
      <c r="N809" s="4"/>
      <c r="O809" s="3"/>
    </row>
    <row r="810" spans="5:15" ht="15.75" customHeight="1" x14ac:dyDescent="0.2">
      <c r="E810" s="3"/>
      <c r="G810" s="3"/>
      <c r="I810" s="3"/>
      <c r="K810" s="3"/>
      <c r="M810" s="3"/>
      <c r="N810" s="4"/>
      <c r="O810" s="3"/>
    </row>
    <row r="811" spans="5:15" ht="15.75" customHeight="1" x14ac:dyDescent="0.2">
      <c r="E811" s="3"/>
      <c r="G811" s="3"/>
      <c r="I811" s="3"/>
      <c r="K811" s="3"/>
      <c r="M811" s="3"/>
      <c r="N811" s="4"/>
      <c r="O811" s="3"/>
    </row>
    <row r="812" spans="5:15" ht="15.75" customHeight="1" x14ac:dyDescent="0.2">
      <c r="E812" s="3"/>
      <c r="G812" s="3"/>
      <c r="I812" s="3"/>
      <c r="K812" s="3"/>
      <c r="M812" s="3"/>
      <c r="N812" s="4"/>
      <c r="O812" s="3"/>
    </row>
    <row r="813" spans="5:15" ht="15.75" customHeight="1" x14ac:dyDescent="0.2">
      <c r="E813" s="3"/>
      <c r="G813" s="3"/>
      <c r="I813" s="3"/>
      <c r="K813" s="3"/>
      <c r="M813" s="3"/>
      <c r="N813" s="4"/>
      <c r="O813" s="3"/>
    </row>
    <row r="814" spans="5:15" ht="15.75" customHeight="1" x14ac:dyDescent="0.2">
      <c r="E814" s="3"/>
      <c r="G814" s="3"/>
      <c r="I814" s="3"/>
      <c r="K814" s="3"/>
      <c r="M814" s="3"/>
      <c r="N814" s="4"/>
      <c r="O814" s="3"/>
    </row>
    <row r="815" spans="5:15" ht="15.75" customHeight="1" x14ac:dyDescent="0.2">
      <c r="E815" s="3"/>
      <c r="G815" s="3"/>
      <c r="I815" s="3"/>
      <c r="K815" s="3"/>
      <c r="M815" s="3"/>
      <c r="N815" s="4"/>
      <c r="O815" s="3"/>
    </row>
    <row r="816" spans="5:15" ht="15.75" customHeight="1" x14ac:dyDescent="0.2">
      <c r="E816" s="3"/>
      <c r="G816" s="3"/>
      <c r="I816" s="3"/>
      <c r="K816" s="3"/>
      <c r="M816" s="3"/>
      <c r="N816" s="4"/>
      <c r="O816" s="3"/>
    </row>
    <row r="817" spans="5:15" ht="15.75" customHeight="1" x14ac:dyDescent="0.2">
      <c r="E817" s="3"/>
      <c r="G817" s="3"/>
      <c r="I817" s="3"/>
      <c r="K817" s="3"/>
      <c r="M817" s="3"/>
      <c r="N817" s="4"/>
      <c r="O817" s="3"/>
    </row>
    <row r="818" spans="5:15" ht="15.75" customHeight="1" x14ac:dyDescent="0.2">
      <c r="E818" s="3"/>
      <c r="G818" s="3"/>
      <c r="I818" s="3"/>
      <c r="K818" s="3"/>
      <c r="M818" s="3"/>
      <c r="N818" s="4"/>
      <c r="O818" s="3"/>
    </row>
    <row r="819" spans="5:15" ht="15.75" customHeight="1" x14ac:dyDescent="0.2">
      <c r="E819" s="3"/>
      <c r="G819" s="3"/>
      <c r="I819" s="3"/>
      <c r="K819" s="3"/>
      <c r="M819" s="3"/>
      <c r="N819" s="4"/>
      <c r="O819" s="3"/>
    </row>
    <row r="820" spans="5:15" ht="15.75" customHeight="1" x14ac:dyDescent="0.2">
      <c r="E820" s="3"/>
      <c r="G820" s="3"/>
      <c r="I820" s="3"/>
      <c r="K820" s="3"/>
      <c r="M820" s="3"/>
      <c r="N820" s="4"/>
      <c r="O820" s="3"/>
    </row>
    <row r="821" spans="5:15" ht="15.75" customHeight="1" x14ac:dyDescent="0.2">
      <c r="E821" s="3"/>
      <c r="G821" s="3"/>
      <c r="I821" s="3"/>
      <c r="K821" s="3"/>
      <c r="M821" s="3"/>
      <c r="N821" s="4"/>
      <c r="O821" s="3"/>
    </row>
    <row r="822" spans="5:15" ht="15.75" customHeight="1" x14ac:dyDescent="0.2">
      <c r="E822" s="3"/>
      <c r="G822" s="3"/>
      <c r="I822" s="3"/>
      <c r="K822" s="3"/>
      <c r="M822" s="3"/>
      <c r="N822" s="4"/>
      <c r="O822" s="3"/>
    </row>
    <row r="823" spans="5:15" ht="15.75" customHeight="1" x14ac:dyDescent="0.2">
      <c r="E823" s="3"/>
      <c r="G823" s="3"/>
      <c r="I823" s="3"/>
      <c r="K823" s="3"/>
      <c r="M823" s="3"/>
      <c r="N823" s="4"/>
      <c r="O823" s="3"/>
    </row>
    <row r="824" spans="5:15" ht="15.75" customHeight="1" x14ac:dyDescent="0.2">
      <c r="E824" s="3"/>
      <c r="G824" s="3"/>
      <c r="I824" s="3"/>
      <c r="K824" s="3"/>
      <c r="M824" s="3"/>
      <c r="N824" s="4"/>
      <c r="O824" s="3"/>
    </row>
    <row r="825" spans="5:15" ht="15.75" customHeight="1" x14ac:dyDescent="0.2">
      <c r="E825" s="3"/>
      <c r="G825" s="3"/>
      <c r="I825" s="3"/>
      <c r="K825" s="3"/>
      <c r="M825" s="3"/>
      <c r="N825" s="4"/>
      <c r="O825" s="3"/>
    </row>
    <row r="826" spans="5:15" ht="15.75" customHeight="1" x14ac:dyDescent="0.2">
      <c r="E826" s="3"/>
      <c r="G826" s="3"/>
      <c r="I826" s="3"/>
      <c r="K826" s="3"/>
      <c r="M826" s="3"/>
      <c r="N826" s="4"/>
      <c r="O826" s="3"/>
    </row>
    <row r="827" spans="5:15" ht="15.75" customHeight="1" x14ac:dyDescent="0.2">
      <c r="E827" s="3"/>
      <c r="G827" s="3"/>
      <c r="I827" s="3"/>
      <c r="K827" s="3"/>
      <c r="M827" s="3"/>
      <c r="N827" s="4"/>
      <c r="O827" s="3"/>
    </row>
    <row r="828" spans="5:15" ht="15.75" customHeight="1" x14ac:dyDescent="0.2">
      <c r="E828" s="3"/>
      <c r="G828" s="3"/>
      <c r="I828" s="3"/>
      <c r="K828" s="3"/>
      <c r="M828" s="3"/>
      <c r="N828" s="4"/>
      <c r="O828" s="3"/>
    </row>
    <row r="829" spans="5:15" ht="15.75" customHeight="1" x14ac:dyDescent="0.2">
      <c r="E829" s="3"/>
      <c r="G829" s="3"/>
      <c r="I829" s="3"/>
      <c r="K829" s="3"/>
      <c r="M829" s="3"/>
      <c r="N829" s="4"/>
      <c r="O829" s="3"/>
    </row>
    <row r="830" spans="5:15" ht="15.75" customHeight="1" x14ac:dyDescent="0.2">
      <c r="E830" s="3"/>
      <c r="G830" s="3"/>
      <c r="I830" s="3"/>
      <c r="K830" s="3"/>
      <c r="M830" s="3"/>
      <c r="N830" s="4"/>
      <c r="O830" s="3"/>
    </row>
    <row r="831" spans="5:15" ht="15.75" customHeight="1" x14ac:dyDescent="0.2">
      <c r="E831" s="3"/>
      <c r="G831" s="3"/>
      <c r="I831" s="3"/>
      <c r="K831" s="3"/>
      <c r="M831" s="3"/>
      <c r="N831" s="4"/>
      <c r="O831" s="3"/>
    </row>
    <row r="832" spans="5:15" ht="15.75" customHeight="1" x14ac:dyDescent="0.2">
      <c r="E832" s="3"/>
      <c r="G832" s="3"/>
      <c r="I832" s="3"/>
      <c r="K832" s="3"/>
      <c r="M832" s="3"/>
      <c r="N832" s="4"/>
      <c r="O832" s="3"/>
    </row>
    <row r="833" spans="5:15" ht="15.75" customHeight="1" x14ac:dyDescent="0.2">
      <c r="E833" s="3"/>
      <c r="G833" s="3"/>
      <c r="I833" s="3"/>
      <c r="K833" s="3"/>
      <c r="M833" s="3"/>
      <c r="N833" s="4"/>
      <c r="O833" s="3"/>
    </row>
    <row r="834" spans="5:15" ht="15.75" customHeight="1" x14ac:dyDescent="0.2">
      <c r="E834" s="3"/>
      <c r="G834" s="3"/>
      <c r="I834" s="3"/>
      <c r="K834" s="3"/>
      <c r="M834" s="3"/>
      <c r="N834" s="4"/>
      <c r="O834" s="3"/>
    </row>
    <row r="835" spans="5:15" ht="15.75" customHeight="1" x14ac:dyDescent="0.2">
      <c r="E835" s="3"/>
      <c r="G835" s="3"/>
      <c r="I835" s="3"/>
      <c r="K835" s="3"/>
      <c r="M835" s="3"/>
      <c r="N835" s="4"/>
      <c r="O835" s="3"/>
    </row>
    <row r="836" spans="5:15" ht="15.75" customHeight="1" x14ac:dyDescent="0.2">
      <c r="E836" s="3"/>
      <c r="G836" s="3"/>
      <c r="I836" s="3"/>
      <c r="K836" s="3"/>
      <c r="M836" s="3"/>
      <c r="N836" s="4"/>
      <c r="O836" s="3"/>
    </row>
    <row r="837" spans="5:15" ht="15.75" customHeight="1" x14ac:dyDescent="0.2">
      <c r="E837" s="3"/>
      <c r="G837" s="3"/>
      <c r="I837" s="3"/>
      <c r="K837" s="3"/>
      <c r="M837" s="3"/>
      <c r="N837" s="4"/>
      <c r="O837" s="3"/>
    </row>
    <row r="838" spans="5:15" ht="15.75" customHeight="1" x14ac:dyDescent="0.2">
      <c r="E838" s="3"/>
      <c r="G838" s="3"/>
      <c r="I838" s="3"/>
      <c r="K838" s="3"/>
      <c r="M838" s="3"/>
      <c r="N838" s="4"/>
      <c r="O838" s="3"/>
    </row>
    <row r="839" spans="5:15" ht="15.75" customHeight="1" x14ac:dyDescent="0.2">
      <c r="E839" s="3"/>
      <c r="G839" s="3"/>
      <c r="I839" s="3"/>
      <c r="K839" s="3"/>
      <c r="M839" s="3"/>
      <c r="N839" s="4"/>
      <c r="O839" s="3"/>
    </row>
    <row r="840" spans="5:15" ht="15.75" customHeight="1" x14ac:dyDescent="0.2">
      <c r="E840" s="3"/>
      <c r="G840" s="3"/>
      <c r="I840" s="3"/>
      <c r="K840" s="3"/>
      <c r="M840" s="3"/>
      <c r="N840" s="4"/>
      <c r="O840" s="3"/>
    </row>
    <row r="841" spans="5:15" ht="15.75" customHeight="1" x14ac:dyDescent="0.2">
      <c r="E841" s="3"/>
      <c r="G841" s="3"/>
      <c r="I841" s="3"/>
      <c r="K841" s="3"/>
      <c r="M841" s="3"/>
      <c r="N841" s="4"/>
      <c r="O841" s="3"/>
    </row>
    <row r="842" spans="5:15" ht="15.75" customHeight="1" x14ac:dyDescent="0.2">
      <c r="E842" s="3"/>
      <c r="G842" s="3"/>
      <c r="I842" s="3"/>
      <c r="K842" s="3"/>
      <c r="M842" s="3"/>
      <c r="N842" s="4"/>
      <c r="O842" s="3"/>
    </row>
    <row r="843" spans="5:15" ht="15.75" customHeight="1" x14ac:dyDescent="0.2">
      <c r="E843" s="3"/>
      <c r="G843" s="3"/>
      <c r="I843" s="3"/>
      <c r="K843" s="3"/>
      <c r="M843" s="3"/>
      <c r="N843" s="4"/>
      <c r="O843" s="3"/>
    </row>
    <row r="844" spans="5:15" ht="15.75" customHeight="1" x14ac:dyDescent="0.2">
      <c r="E844" s="3"/>
      <c r="G844" s="3"/>
      <c r="I844" s="3"/>
      <c r="K844" s="3"/>
      <c r="M844" s="3"/>
      <c r="N844" s="4"/>
      <c r="O844" s="3"/>
    </row>
    <row r="845" spans="5:15" ht="15.75" customHeight="1" x14ac:dyDescent="0.2">
      <c r="E845" s="3"/>
      <c r="G845" s="3"/>
      <c r="I845" s="3"/>
      <c r="K845" s="3"/>
      <c r="M845" s="3"/>
      <c r="N845" s="4"/>
      <c r="O845" s="3"/>
    </row>
    <row r="846" spans="5:15" ht="15.75" customHeight="1" x14ac:dyDescent="0.2">
      <c r="E846" s="3"/>
      <c r="G846" s="3"/>
      <c r="I846" s="3"/>
      <c r="K846" s="3"/>
      <c r="M846" s="3"/>
      <c r="N846" s="4"/>
      <c r="O846" s="3"/>
    </row>
    <row r="847" spans="5:15" ht="15.75" customHeight="1" x14ac:dyDescent="0.2">
      <c r="E847" s="3"/>
      <c r="G847" s="3"/>
      <c r="I847" s="3"/>
      <c r="K847" s="3"/>
      <c r="M847" s="3"/>
      <c r="N847" s="4"/>
      <c r="O847" s="3"/>
    </row>
    <row r="848" spans="5:15" ht="15.75" customHeight="1" x14ac:dyDescent="0.2">
      <c r="E848" s="3"/>
      <c r="G848" s="3"/>
      <c r="I848" s="3"/>
      <c r="K848" s="3"/>
      <c r="M848" s="3"/>
      <c r="N848" s="4"/>
      <c r="O848" s="3"/>
    </row>
    <row r="849" spans="5:15" ht="15.75" customHeight="1" x14ac:dyDescent="0.2">
      <c r="E849" s="3"/>
      <c r="G849" s="3"/>
      <c r="I849" s="3"/>
      <c r="K849" s="3"/>
      <c r="M849" s="3"/>
      <c r="N849" s="4"/>
      <c r="O849" s="3"/>
    </row>
    <row r="850" spans="5:15" ht="15.75" customHeight="1" x14ac:dyDescent="0.2">
      <c r="E850" s="3"/>
      <c r="G850" s="3"/>
      <c r="I850" s="3"/>
      <c r="K850" s="3"/>
      <c r="M850" s="3"/>
      <c r="N850" s="4"/>
      <c r="O850" s="3"/>
    </row>
    <row r="851" spans="5:15" ht="15.75" customHeight="1" x14ac:dyDescent="0.2">
      <c r="E851" s="3"/>
      <c r="G851" s="3"/>
      <c r="I851" s="3"/>
      <c r="K851" s="3"/>
      <c r="M851" s="3"/>
      <c r="N851" s="4"/>
      <c r="O851" s="3"/>
    </row>
    <row r="852" spans="5:15" ht="15.75" customHeight="1" x14ac:dyDescent="0.2">
      <c r="E852" s="3"/>
      <c r="G852" s="3"/>
      <c r="I852" s="3"/>
      <c r="K852" s="3"/>
      <c r="M852" s="3"/>
      <c r="N852" s="4"/>
      <c r="O852" s="3"/>
    </row>
    <row r="853" spans="5:15" ht="15.75" customHeight="1" x14ac:dyDescent="0.2">
      <c r="E853" s="3"/>
      <c r="G853" s="3"/>
      <c r="I853" s="3"/>
      <c r="K853" s="3"/>
      <c r="M853" s="3"/>
      <c r="N853" s="4"/>
      <c r="O853" s="3"/>
    </row>
    <row r="854" spans="5:15" ht="15.75" customHeight="1" x14ac:dyDescent="0.2">
      <c r="E854" s="3"/>
      <c r="G854" s="3"/>
      <c r="I854" s="3"/>
      <c r="K854" s="3"/>
      <c r="M854" s="3"/>
      <c r="N854" s="4"/>
      <c r="O854" s="3"/>
    </row>
    <row r="855" spans="5:15" ht="15.75" customHeight="1" x14ac:dyDescent="0.2">
      <c r="E855" s="3"/>
      <c r="G855" s="3"/>
      <c r="I855" s="3"/>
      <c r="K855" s="3"/>
      <c r="M855" s="3"/>
      <c r="N855" s="4"/>
      <c r="O855" s="3"/>
    </row>
    <row r="856" spans="5:15" ht="15.75" customHeight="1" x14ac:dyDescent="0.2">
      <c r="E856" s="3"/>
      <c r="G856" s="3"/>
      <c r="I856" s="3"/>
      <c r="K856" s="3"/>
      <c r="M856" s="3"/>
      <c r="N856" s="4"/>
      <c r="O856" s="3"/>
    </row>
    <row r="857" spans="5:15" ht="15.75" customHeight="1" x14ac:dyDescent="0.2">
      <c r="E857" s="3"/>
      <c r="G857" s="3"/>
      <c r="I857" s="3"/>
      <c r="K857" s="3"/>
      <c r="M857" s="3"/>
      <c r="N857" s="4"/>
      <c r="O857" s="3"/>
    </row>
    <row r="858" spans="5:15" ht="15.75" customHeight="1" x14ac:dyDescent="0.2">
      <c r="E858" s="3"/>
      <c r="G858" s="3"/>
      <c r="I858" s="3"/>
      <c r="K858" s="3"/>
      <c r="M858" s="3"/>
      <c r="N858" s="4"/>
      <c r="O858" s="3"/>
    </row>
    <row r="859" spans="5:15" ht="15.75" customHeight="1" x14ac:dyDescent="0.2">
      <c r="E859" s="3"/>
      <c r="G859" s="3"/>
      <c r="I859" s="3"/>
      <c r="K859" s="3"/>
      <c r="M859" s="3"/>
      <c r="N859" s="4"/>
      <c r="O859" s="3"/>
    </row>
    <row r="860" spans="5:15" ht="15.75" customHeight="1" x14ac:dyDescent="0.2">
      <c r="E860" s="3"/>
      <c r="G860" s="3"/>
      <c r="I860" s="3"/>
      <c r="K860" s="3"/>
      <c r="M860" s="3"/>
      <c r="N860" s="4"/>
      <c r="O860" s="3"/>
    </row>
    <row r="861" spans="5:15" ht="15.75" customHeight="1" x14ac:dyDescent="0.2">
      <c r="E861" s="3"/>
      <c r="G861" s="3"/>
      <c r="I861" s="3"/>
      <c r="K861" s="3"/>
      <c r="M861" s="3"/>
      <c r="N861" s="4"/>
      <c r="O861" s="3"/>
    </row>
    <row r="862" spans="5:15" ht="15.75" customHeight="1" x14ac:dyDescent="0.2">
      <c r="E862" s="3"/>
      <c r="G862" s="3"/>
      <c r="I862" s="3"/>
      <c r="K862" s="3"/>
      <c r="M862" s="3"/>
      <c r="N862" s="4"/>
      <c r="O862" s="3"/>
    </row>
    <row r="863" spans="5:15" ht="15.75" customHeight="1" x14ac:dyDescent="0.2">
      <c r="E863" s="3"/>
      <c r="G863" s="3"/>
      <c r="I863" s="3"/>
      <c r="K863" s="3"/>
      <c r="M863" s="3"/>
      <c r="N863" s="4"/>
      <c r="O863" s="3"/>
    </row>
    <row r="864" spans="5:15" ht="15.75" customHeight="1" x14ac:dyDescent="0.2">
      <c r="E864" s="3"/>
      <c r="G864" s="3"/>
      <c r="I864" s="3"/>
      <c r="K864" s="3"/>
      <c r="M864" s="3"/>
      <c r="N864" s="4"/>
      <c r="O864" s="3"/>
    </row>
    <row r="865" spans="5:15" ht="15.75" customHeight="1" x14ac:dyDescent="0.2">
      <c r="E865" s="3"/>
      <c r="G865" s="3"/>
      <c r="I865" s="3"/>
      <c r="K865" s="3"/>
      <c r="M865" s="3"/>
      <c r="N865" s="4"/>
      <c r="O865" s="3"/>
    </row>
    <row r="866" spans="5:15" ht="15.75" customHeight="1" x14ac:dyDescent="0.2">
      <c r="E866" s="3"/>
      <c r="G866" s="3"/>
      <c r="I866" s="3"/>
      <c r="K866" s="3"/>
      <c r="M866" s="3"/>
      <c r="N866" s="4"/>
      <c r="O866" s="3"/>
    </row>
    <row r="867" spans="5:15" ht="15.75" customHeight="1" x14ac:dyDescent="0.2">
      <c r="E867" s="3"/>
      <c r="G867" s="3"/>
      <c r="I867" s="3"/>
      <c r="K867" s="3"/>
      <c r="M867" s="3"/>
      <c r="N867" s="4"/>
      <c r="O867" s="3"/>
    </row>
    <row r="868" spans="5:15" ht="15.75" customHeight="1" x14ac:dyDescent="0.2">
      <c r="E868" s="3"/>
      <c r="G868" s="3"/>
      <c r="I868" s="3"/>
      <c r="K868" s="3"/>
      <c r="M868" s="3"/>
      <c r="N868" s="4"/>
      <c r="O868" s="3"/>
    </row>
    <row r="869" spans="5:15" ht="15.75" customHeight="1" x14ac:dyDescent="0.2">
      <c r="E869" s="3"/>
      <c r="G869" s="3"/>
      <c r="I869" s="3"/>
      <c r="K869" s="3"/>
      <c r="M869" s="3"/>
      <c r="N869" s="4"/>
      <c r="O869" s="3"/>
    </row>
    <row r="870" spans="5:15" ht="15.75" customHeight="1" x14ac:dyDescent="0.2">
      <c r="E870" s="3"/>
      <c r="G870" s="3"/>
      <c r="I870" s="3"/>
      <c r="K870" s="3"/>
      <c r="M870" s="3"/>
      <c r="N870" s="4"/>
      <c r="O870" s="3"/>
    </row>
    <row r="871" spans="5:15" ht="15.75" customHeight="1" x14ac:dyDescent="0.2">
      <c r="E871" s="3"/>
      <c r="G871" s="3"/>
      <c r="I871" s="3"/>
      <c r="K871" s="3"/>
      <c r="M871" s="3"/>
      <c r="N871" s="4"/>
      <c r="O871" s="3"/>
    </row>
    <row r="872" spans="5:15" ht="15.75" customHeight="1" x14ac:dyDescent="0.2">
      <c r="E872" s="3"/>
      <c r="G872" s="3"/>
      <c r="I872" s="3"/>
      <c r="K872" s="3"/>
      <c r="M872" s="3"/>
      <c r="N872" s="4"/>
      <c r="O872" s="3"/>
    </row>
    <row r="873" spans="5:15" ht="15.75" customHeight="1" x14ac:dyDescent="0.2">
      <c r="E873" s="3"/>
      <c r="G873" s="3"/>
      <c r="I873" s="3"/>
      <c r="K873" s="3"/>
      <c r="M873" s="3"/>
      <c r="N873" s="4"/>
      <c r="O873" s="3"/>
    </row>
    <row r="874" spans="5:15" ht="15.75" customHeight="1" x14ac:dyDescent="0.2">
      <c r="E874" s="3"/>
      <c r="G874" s="3"/>
      <c r="I874" s="3"/>
      <c r="K874" s="3"/>
      <c r="M874" s="3"/>
      <c r="N874" s="4"/>
      <c r="O874" s="3"/>
    </row>
    <row r="875" spans="5:15" ht="15.75" customHeight="1" x14ac:dyDescent="0.2">
      <c r="E875" s="3"/>
      <c r="G875" s="3"/>
      <c r="I875" s="3"/>
      <c r="K875" s="3"/>
      <c r="M875" s="3"/>
      <c r="N875" s="4"/>
      <c r="O875" s="3"/>
    </row>
    <row r="876" spans="5:15" ht="15.75" customHeight="1" x14ac:dyDescent="0.2">
      <c r="E876" s="3"/>
      <c r="G876" s="3"/>
      <c r="I876" s="3"/>
      <c r="K876" s="3"/>
      <c r="M876" s="3"/>
      <c r="N876" s="4"/>
      <c r="O876" s="3"/>
    </row>
    <row r="877" spans="5:15" ht="15.75" customHeight="1" x14ac:dyDescent="0.2">
      <c r="E877" s="3"/>
      <c r="G877" s="3"/>
      <c r="I877" s="3"/>
      <c r="K877" s="3"/>
      <c r="M877" s="3"/>
      <c r="N877" s="4"/>
      <c r="O877" s="3"/>
    </row>
    <row r="878" spans="5:15" ht="15.75" customHeight="1" x14ac:dyDescent="0.2">
      <c r="E878" s="3"/>
      <c r="G878" s="3"/>
      <c r="I878" s="3"/>
      <c r="K878" s="3"/>
      <c r="M878" s="3"/>
      <c r="N878" s="4"/>
      <c r="O878" s="3"/>
    </row>
    <row r="879" spans="5:15" ht="15.75" customHeight="1" x14ac:dyDescent="0.2">
      <c r="E879" s="3"/>
      <c r="G879" s="3"/>
      <c r="I879" s="3"/>
      <c r="K879" s="3"/>
      <c r="M879" s="3"/>
      <c r="N879" s="4"/>
      <c r="O879" s="3"/>
    </row>
    <row r="880" spans="5:15" ht="15.75" customHeight="1" x14ac:dyDescent="0.2">
      <c r="E880" s="3"/>
      <c r="G880" s="3"/>
      <c r="I880" s="3"/>
      <c r="K880" s="3"/>
      <c r="M880" s="3"/>
      <c r="N880" s="4"/>
      <c r="O880" s="3"/>
    </row>
    <row r="881" spans="5:15" ht="15.75" customHeight="1" x14ac:dyDescent="0.2">
      <c r="E881" s="3"/>
      <c r="G881" s="3"/>
      <c r="I881" s="3"/>
      <c r="K881" s="3"/>
      <c r="M881" s="3"/>
      <c r="N881" s="4"/>
      <c r="O881" s="3"/>
    </row>
    <row r="882" spans="5:15" ht="15.75" customHeight="1" x14ac:dyDescent="0.2">
      <c r="E882" s="3"/>
      <c r="G882" s="3"/>
      <c r="I882" s="3"/>
      <c r="K882" s="3"/>
      <c r="M882" s="3"/>
      <c r="N882" s="4"/>
      <c r="O882" s="3"/>
    </row>
    <row r="883" spans="5:15" ht="15.75" customHeight="1" x14ac:dyDescent="0.2">
      <c r="E883" s="3"/>
      <c r="G883" s="3"/>
      <c r="I883" s="3"/>
      <c r="K883" s="3"/>
      <c r="M883" s="3"/>
      <c r="N883" s="4"/>
      <c r="O883" s="3"/>
    </row>
    <row r="884" spans="5:15" ht="15.75" customHeight="1" x14ac:dyDescent="0.2">
      <c r="E884" s="3"/>
      <c r="G884" s="3"/>
      <c r="I884" s="3"/>
      <c r="K884" s="3"/>
      <c r="M884" s="3"/>
      <c r="N884" s="4"/>
      <c r="O884" s="3"/>
    </row>
    <row r="885" spans="5:15" ht="15.75" customHeight="1" x14ac:dyDescent="0.2">
      <c r="E885" s="3"/>
      <c r="G885" s="3"/>
      <c r="I885" s="3"/>
      <c r="K885" s="3"/>
      <c r="M885" s="3"/>
      <c r="N885" s="4"/>
      <c r="O885" s="3"/>
    </row>
    <row r="886" spans="5:15" ht="15.75" customHeight="1" x14ac:dyDescent="0.2">
      <c r="E886" s="3"/>
      <c r="G886" s="3"/>
      <c r="I886" s="3"/>
      <c r="K886" s="3"/>
      <c r="M886" s="3"/>
      <c r="N886" s="4"/>
      <c r="O886" s="3"/>
    </row>
    <row r="887" spans="5:15" ht="15.75" customHeight="1" x14ac:dyDescent="0.2">
      <c r="E887" s="3"/>
      <c r="G887" s="3"/>
      <c r="I887" s="3"/>
      <c r="K887" s="3"/>
      <c r="M887" s="3"/>
      <c r="N887" s="4"/>
      <c r="O887" s="3"/>
    </row>
    <row r="888" spans="5:15" ht="15.75" customHeight="1" x14ac:dyDescent="0.2">
      <c r="E888" s="3"/>
      <c r="G888" s="3"/>
      <c r="I888" s="3"/>
      <c r="K888" s="3"/>
      <c r="M888" s="3"/>
      <c r="N888" s="4"/>
      <c r="O888" s="3"/>
    </row>
    <row r="889" spans="5:15" ht="15.75" customHeight="1" x14ac:dyDescent="0.2">
      <c r="E889" s="3"/>
      <c r="G889" s="3"/>
      <c r="I889" s="3"/>
      <c r="K889" s="3"/>
      <c r="M889" s="3"/>
      <c r="N889" s="4"/>
      <c r="O889" s="3"/>
    </row>
    <row r="890" spans="5:15" ht="15.75" customHeight="1" x14ac:dyDescent="0.2">
      <c r="E890" s="3"/>
      <c r="G890" s="3"/>
      <c r="I890" s="3"/>
      <c r="K890" s="3"/>
      <c r="M890" s="3"/>
      <c r="N890" s="4"/>
      <c r="O890" s="3"/>
    </row>
    <row r="891" spans="5:15" ht="15.75" customHeight="1" x14ac:dyDescent="0.2">
      <c r="E891" s="3"/>
      <c r="G891" s="3"/>
      <c r="I891" s="3"/>
      <c r="K891" s="3"/>
      <c r="M891" s="3"/>
      <c r="N891" s="4"/>
      <c r="O891" s="3"/>
    </row>
    <row r="892" spans="5:15" ht="15.75" customHeight="1" x14ac:dyDescent="0.2">
      <c r="E892" s="3"/>
      <c r="G892" s="3"/>
      <c r="I892" s="3"/>
      <c r="K892" s="3"/>
      <c r="M892" s="3"/>
      <c r="N892" s="4"/>
      <c r="O892" s="3"/>
    </row>
    <row r="893" spans="5:15" ht="15.75" customHeight="1" x14ac:dyDescent="0.2">
      <c r="E893" s="3"/>
      <c r="G893" s="3"/>
      <c r="I893" s="3"/>
      <c r="K893" s="3"/>
      <c r="M893" s="3"/>
      <c r="N893" s="4"/>
      <c r="O893" s="3"/>
    </row>
    <row r="894" spans="5:15" ht="15.75" customHeight="1" x14ac:dyDescent="0.2">
      <c r="E894" s="3"/>
      <c r="G894" s="3"/>
      <c r="I894" s="3"/>
      <c r="K894" s="3"/>
      <c r="M894" s="3"/>
      <c r="N894" s="4"/>
      <c r="O894" s="3"/>
    </row>
    <row r="895" spans="5:15" ht="15.75" customHeight="1" x14ac:dyDescent="0.2">
      <c r="E895" s="3"/>
      <c r="G895" s="3"/>
      <c r="I895" s="3"/>
      <c r="K895" s="3"/>
      <c r="M895" s="3"/>
      <c r="N895" s="4"/>
      <c r="O895" s="3"/>
    </row>
    <row r="896" spans="5:15" ht="15.75" customHeight="1" x14ac:dyDescent="0.2">
      <c r="E896" s="3"/>
      <c r="G896" s="3"/>
      <c r="I896" s="3"/>
      <c r="K896" s="3"/>
      <c r="M896" s="3"/>
      <c r="N896" s="4"/>
      <c r="O896" s="3"/>
    </row>
    <row r="897" spans="5:15" ht="15.75" customHeight="1" x14ac:dyDescent="0.2">
      <c r="E897" s="3"/>
      <c r="G897" s="3"/>
      <c r="I897" s="3"/>
      <c r="K897" s="3"/>
      <c r="M897" s="3"/>
      <c r="N897" s="4"/>
      <c r="O897" s="3"/>
    </row>
    <row r="898" spans="5:15" ht="15.75" customHeight="1" x14ac:dyDescent="0.2">
      <c r="E898" s="3"/>
      <c r="G898" s="3"/>
      <c r="I898" s="3"/>
      <c r="K898" s="3"/>
      <c r="M898" s="3"/>
      <c r="N898" s="4"/>
      <c r="O898" s="3"/>
    </row>
    <row r="899" spans="5:15" ht="15.75" customHeight="1" x14ac:dyDescent="0.2">
      <c r="E899" s="3"/>
      <c r="G899" s="3"/>
      <c r="I899" s="3"/>
      <c r="K899" s="3"/>
      <c r="M899" s="3"/>
      <c r="N899" s="4"/>
      <c r="O899" s="3"/>
    </row>
    <row r="900" spans="5:15" ht="15.75" customHeight="1" x14ac:dyDescent="0.2">
      <c r="E900" s="3"/>
      <c r="G900" s="3"/>
      <c r="I900" s="3"/>
      <c r="K900" s="3"/>
      <c r="M900" s="3"/>
      <c r="N900" s="4"/>
      <c r="O900" s="3"/>
    </row>
    <row r="901" spans="5:15" ht="15.75" customHeight="1" x14ac:dyDescent="0.2">
      <c r="E901" s="3"/>
      <c r="G901" s="3"/>
      <c r="I901" s="3"/>
      <c r="K901" s="3"/>
      <c r="M901" s="3"/>
      <c r="N901" s="4"/>
      <c r="O901" s="3"/>
    </row>
    <row r="902" spans="5:15" ht="15.75" customHeight="1" x14ac:dyDescent="0.2">
      <c r="E902" s="3"/>
      <c r="G902" s="3"/>
      <c r="I902" s="3"/>
      <c r="K902" s="3"/>
      <c r="M902" s="3"/>
      <c r="N902" s="4"/>
      <c r="O902" s="3"/>
    </row>
    <row r="903" spans="5:15" ht="15.75" customHeight="1" x14ac:dyDescent="0.2">
      <c r="E903" s="3"/>
      <c r="G903" s="3"/>
      <c r="I903" s="3"/>
      <c r="K903" s="3"/>
      <c r="M903" s="3"/>
      <c r="N903" s="4"/>
      <c r="O903" s="3"/>
    </row>
    <row r="904" spans="5:15" ht="15.75" customHeight="1" x14ac:dyDescent="0.2">
      <c r="E904" s="3"/>
      <c r="G904" s="3"/>
      <c r="I904" s="3"/>
      <c r="K904" s="3"/>
      <c r="M904" s="3"/>
      <c r="N904" s="4"/>
      <c r="O904" s="3"/>
    </row>
    <row r="905" spans="5:15" ht="15.75" customHeight="1" x14ac:dyDescent="0.2">
      <c r="E905" s="3"/>
      <c r="G905" s="3"/>
      <c r="I905" s="3"/>
      <c r="K905" s="3"/>
      <c r="M905" s="3"/>
      <c r="N905" s="4"/>
      <c r="O905" s="3"/>
    </row>
    <row r="906" spans="5:15" ht="15.75" customHeight="1" x14ac:dyDescent="0.2">
      <c r="E906" s="3"/>
      <c r="G906" s="3"/>
      <c r="I906" s="3"/>
      <c r="K906" s="3"/>
      <c r="M906" s="3"/>
      <c r="N906" s="4"/>
      <c r="O906" s="3"/>
    </row>
    <row r="907" spans="5:15" ht="15.75" customHeight="1" x14ac:dyDescent="0.2">
      <c r="E907" s="3"/>
      <c r="G907" s="3"/>
      <c r="I907" s="3"/>
      <c r="K907" s="3"/>
      <c r="M907" s="3"/>
      <c r="N907" s="4"/>
      <c r="O907" s="3"/>
    </row>
    <row r="908" spans="5:15" ht="15.75" customHeight="1" x14ac:dyDescent="0.2">
      <c r="E908" s="3"/>
      <c r="G908" s="3"/>
      <c r="I908" s="3"/>
      <c r="K908" s="3"/>
      <c r="M908" s="3"/>
      <c r="N908" s="4"/>
      <c r="O908" s="3"/>
    </row>
    <row r="909" spans="5:15" ht="15.75" customHeight="1" x14ac:dyDescent="0.2">
      <c r="E909" s="3"/>
      <c r="G909" s="3"/>
      <c r="I909" s="3"/>
      <c r="K909" s="3"/>
      <c r="M909" s="3"/>
      <c r="N909" s="4"/>
      <c r="O909" s="3"/>
    </row>
    <row r="910" spans="5:15" ht="15.75" customHeight="1" x14ac:dyDescent="0.2">
      <c r="E910" s="3"/>
      <c r="G910" s="3"/>
      <c r="I910" s="3"/>
      <c r="K910" s="3"/>
      <c r="M910" s="3"/>
      <c r="N910" s="4"/>
      <c r="O910" s="3"/>
    </row>
    <row r="911" spans="5:15" ht="15.75" customHeight="1" x14ac:dyDescent="0.2">
      <c r="E911" s="3"/>
      <c r="G911" s="3"/>
      <c r="I911" s="3"/>
      <c r="K911" s="3"/>
      <c r="M911" s="3"/>
      <c r="N911" s="4"/>
      <c r="O911" s="3"/>
    </row>
    <row r="912" spans="5:15" ht="15.75" customHeight="1" x14ac:dyDescent="0.2">
      <c r="E912" s="3"/>
      <c r="G912" s="3"/>
      <c r="I912" s="3"/>
      <c r="K912" s="3"/>
      <c r="M912" s="3"/>
      <c r="N912" s="4"/>
      <c r="O912" s="3"/>
    </row>
    <row r="913" spans="5:15" ht="15.75" customHeight="1" x14ac:dyDescent="0.2">
      <c r="E913" s="3"/>
      <c r="G913" s="3"/>
      <c r="I913" s="3"/>
      <c r="K913" s="3"/>
      <c r="M913" s="3"/>
      <c r="N913" s="4"/>
      <c r="O913" s="3"/>
    </row>
    <row r="914" spans="5:15" ht="15.75" customHeight="1" x14ac:dyDescent="0.2">
      <c r="E914" s="3"/>
      <c r="G914" s="3"/>
      <c r="I914" s="3"/>
      <c r="K914" s="3"/>
      <c r="M914" s="3"/>
      <c r="N914" s="4"/>
      <c r="O914" s="3"/>
    </row>
    <row r="915" spans="5:15" ht="15.75" customHeight="1" x14ac:dyDescent="0.2">
      <c r="E915" s="3"/>
      <c r="G915" s="3"/>
      <c r="I915" s="3"/>
      <c r="K915" s="3"/>
      <c r="M915" s="3"/>
      <c r="N915" s="4"/>
      <c r="O915" s="3"/>
    </row>
    <row r="916" spans="5:15" ht="15.75" customHeight="1" x14ac:dyDescent="0.2">
      <c r="E916" s="3"/>
      <c r="G916" s="3"/>
      <c r="I916" s="3"/>
      <c r="K916" s="3"/>
      <c r="M916" s="3"/>
      <c r="N916" s="4"/>
      <c r="O916" s="3"/>
    </row>
    <row r="917" spans="5:15" ht="15.75" customHeight="1" x14ac:dyDescent="0.2">
      <c r="E917" s="3"/>
      <c r="G917" s="3"/>
      <c r="I917" s="3"/>
      <c r="K917" s="3"/>
      <c r="M917" s="3"/>
      <c r="N917" s="4"/>
      <c r="O917" s="3"/>
    </row>
    <row r="918" spans="5:15" ht="15.75" customHeight="1" x14ac:dyDescent="0.2">
      <c r="E918" s="3"/>
      <c r="G918" s="3"/>
      <c r="I918" s="3"/>
      <c r="K918" s="3"/>
      <c r="M918" s="3"/>
      <c r="N918" s="4"/>
      <c r="O918" s="3"/>
    </row>
    <row r="919" spans="5:15" ht="15.75" customHeight="1" x14ac:dyDescent="0.2">
      <c r="E919" s="3"/>
      <c r="G919" s="3"/>
      <c r="I919" s="3"/>
      <c r="K919" s="3"/>
      <c r="M919" s="3"/>
      <c r="N919" s="4"/>
      <c r="O919" s="3"/>
    </row>
    <row r="920" spans="5:15" ht="15.75" customHeight="1" x14ac:dyDescent="0.2">
      <c r="E920" s="3"/>
      <c r="G920" s="3"/>
      <c r="I920" s="3"/>
      <c r="K920" s="3"/>
      <c r="M920" s="3"/>
      <c r="N920" s="4"/>
      <c r="O920" s="3"/>
    </row>
    <row r="921" spans="5:15" ht="15.75" customHeight="1" x14ac:dyDescent="0.2">
      <c r="E921" s="3"/>
      <c r="G921" s="3"/>
      <c r="I921" s="3"/>
      <c r="K921" s="3"/>
      <c r="M921" s="3"/>
      <c r="N921" s="4"/>
      <c r="O921" s="3"/>
    </row>
    <row r="922" spans="5:15" ht="15.75" customHeight="1" x14ac:dyDescent="0.2">
      <c r="E922" s="3"/>
      <c r="G922" s="3"/>
      <c r="I922" s="3"/>
      <c r="K922" s="3"/>
      <c r="M922" s="3"/>
      <c r="N922" s="4"/>
      <c r="O922" s="3"/>
    </row>
    <row r="923" spans="5:15" ht="15.75" customHeight="1" x14ac:dyDescent="0.2">
      <c r="E923" s="3"/>
      <c r="G923" s="3"/>
      <c r="I923" s="3"/>
      <c r="K923" s="3"/>
      <c r="M923" s="3"/>
      <c r="N923" s="4"/>
      <c r="O923" s="3"/>
    </row>
    <row r="924" spans="5:15" ht="15.75" customHeight="1" x14ac:dyDescent="0.2">
      <c r="E924" s="3"/>
      <c r="G924" s="3"/>
      <c r="I924" s="3"/>
      <c r="K924" s="3"/>
      <c r="M924" s="3"/>
      <c r="N924" s="4"/>
      <c r="O924" s="3"/>
    </row>
    <row r="925" spans="5:15" ht="15.75" customHeight="1" x14ac:dyDescent="0.2">
      <c r="E925" s="3"/>
      <c r="G925" s="3"/>
      <c r="I925" s="3"/>
      <c r="K925" s="3"/>
      <c r="M925" s="3"/>
      <c r="N925" s="4"/>
      <c r="O925" s="3"/>
    </row>
    <row r="926" spans="5:15" ht="15.75" customHeight="1" x14ac:dyDescent="0.2">
      <c r="E926" s="3"/>
      <c r="G926" s="3"/>
      <c r="I926" s="3"/>
      <c r="K926" s="3"/>
      <c r="M926" s="3"/>
      <c r="N926" s="4"/>
      <c r="O926" s="3"/>
    </row>
    <row r="927" spans="5:15" ht="15.75" customHeight="1" x14ac:dyDescent="0.2">
      <c r="E927" s="3"/>
      <c r="G927" s="3"/>
      <c r="I927" s="3"/>
      <c r="K927" s="3"/>
      <c r="M927" s="3"/>
      <c r="N927" s="4"/>
      <c r="O927" s="3"/>
    </row>
    <row r="928" spans="5:15" ht="15.75" customHeight="1" x14ac:dyDescent="0.2">
      <c r="E928" s="3"/>
      <c r="G928" s="3"/>
      <c r="I928" s="3"/>
      <c r="K928" s="3"/>
      <c r="M928" s="3"/>
      <c r="N928" s="4"/>
      <c r="O928" s="3"/>
    </row>
    <row r="929" spans="5:15" ht="15.75" customHeight="1" x14ac:dyDescent="0.2">
      <c r="E929" s="3"/>
      <c r="G929" s="3"/>
      <c r="I929" s="3"/>
      <c r="K929" s="3"/>
      <c r="M929" s="3"/>
      <c r="N929" s="4"/>
      <c r="O929" s="3"/>
    </row>
    <row r="930" spans="5:15" ht="15.75" customHeight="1" x14ac:dyDescent="0.2">
      <c r="E930" s="3"/>
      <c r="G930" s="3"/>
      <c r="I930" s="3"/>
      <c r="K930" s="3"/>
      <c r="M930" s="3"/>
      <c r="N930" s="4"/>
      <c r="O930" s="3"/>
    </row>
    <row r="931" spans="5:15" ht="15.75" customHeight="1" x14ac:dyDescent="0.2">
      <c r="E931" s="3"/>
      <c r="G931" s="3"/>
      <c r="I931" s="3"/>
      <c r="K931" s="3"/>
      <c r="M931" s="3"/>
      <c r="N931" s="4"/>
      <c r="O931" s="3"/>
    </row>
    <row r="932" spans="5:15" ht="15.75" customHeight="1" x14ac:dyDescent="0.2">
      <c r="E932" s="3"/>
      <c r="G932" s="3"/>
      <c r="I932" s="3"/>
      <c r="K932" s="3"/>
      <c r="M932" s="3"/>
      <c r="N932" s="4"/>
      <c r="O932" s="3"/>
    </row>
    <row r="933" spans="5:15" ht="15.75" customHeight="1" x14ac:dyDescent="0.2">
      <c r="E933" s="3"/>
      <c r="G933" s="3"/>
      <c r="I933" s="3"/>
      <c r="K933" s="3"/>
      <c r="M933" s="3"/>
      <c r="N933" s="4"/>
      <c r="O933" s="3"/>
    </row>
    <row r="934" spans="5:15" ht="15.75" customHeight="1" x14ac:dyDescent="0.2">
      <c r="E934" s="3"/>
      <c r="G934" s="3"/>
      <c r="I934" s="3"/>
      <c r="K934" s="3"/>
      <c r="M934" s="3"/>
      <c r="N934" s="4"/>
      <c r="O934" s="3"/>
    </row>
    <row r="935" spans="5:15" ht="15.75" customHeight="1" x14ac:dyDescent="0.2">
      <c r="E935" s="3"/>
      <c r="G935" s="3"/>
      <c r="I935" s="3"/>
      <c r="K935" s="3"/>
      <c r="M935" s="3"/>
      <c r="N935" s="4"/>
      <c r="O935" s="3"/>
    </row>
    <row r="936" spans="5:15" ht="15.75" customHeight="1" x14ac:dyDescent="0.2">
      <c r="E936" s="3"/>
      <c r="G936" s="3"/>
      <c r="I936" s="3"/>
      <c r="K936" s="3"/>
      <c r="M936" s="3"/>
      <c r="N936" s="4"/>
      <c r="O936" s="3"/>
    </row>
    <row r="937" spans="5:15" ht="15.75" customHeight="1" x14ac:dyDescent="0.2">
      <c r="E937" s="3"/>
      <c r="G937" s="3"/>
      <c r="I937" s="3"/>
      <c r="K937" s="3"/>
      <c r="M937" s="3"/>
      <c r="N937" s="4"/>
      <c r="O937" s="3"/>
    </row>
    <row r="938" spans="5:15" ht="15.75" customHeight="1" x14ac:dyDescent="0.2">
      <c r="E938" s="3"/>
      <c r="G938" s="3"/>
      <c r="I938" s="3"/>
      <c r="K938" s="3"/>
      <c r="M938" s="3"/>
      <c r="N938" s="4"/>
      <c r="O938" s="3"/>
    </row>
    <row r="939" spans="5:15" ht="15.75" customHeight="1" x14ac:dyDescent="0.2">
      <c r="E939" s="3"/>
      <c r="G939" s="3"/>
      <c r="I939" s="3"/>
      <c r="K939" s="3"/>
      <c r="M939" s="3"/>
      <c r="N939" s="4"/>
      <c r="O939" s="3"/>
    </row>
    <row r="940" spans="5:15" ht="15.75" customHeight="1" x14ac:dyDescent="0.2">
      <c r="E940" s="3"/>
      <c r="G940" s="3"/>
      <c r="I940" s="3"/>
      <c r="K940" s="3"/>
      <c r="M940" s="3"/>
      <c r="N940" s="4"/>
      <c r="O940" s="3"/>
    </row>
    <row r="941" spans="5:15" ht="15.75" customHeight="1" x14ac:dyDescent="0.2">
      <c r="E941" s="3"/>
      <c r="G941" s="3"/>
      <c r="I941" s="3"/>
      <c r="K941" s="3"/>
      <c r="M941" s="3"/>
      <c r="N941" s="4"/>
      <c r="O941" s="3"/>
    </row>
    <row r="942" spans="5:15" ht="15.75" customHeight="1" x14ac:dyDescent="0.2">
      <c r="E942" s="3"/>
      <c r="G942" s="3"/>
      <c r="I942" s="3"/>
      <c r="K942" s="3"/>
      <c r="M942" s="3"/>
      <c r="N942" s="4"/>
      <c r="O942" s="3"/>
    </row>
    <row r="943" spans="5:15" ht="15.75" customHeight="1" x14ac:dyDescent="0.2">
      <c r="E943" s="3"/>
      <c r="G943" s="3"/>
      <c r="I943" s="3"/>
      <c r="K943" s="3"/>
      <c r="M943" s="3"/>
      <c r="N943" s="4"/>
      <c r="O943" s="3"/>
    </row>
    <row r="944" spans="5:15" ht="15.75" customHeight="1" x14ac:dyDescent="0.2">
      <c r="E944" s="3"/>
      <c r="G944" s="3"/>
      <c r="I944" s="3"/>
      <c r="K944" s="3"/>
      <c r="M944" s="3"/>
      <c r="N944" s="4"/>
      <c r="O944" s="3"/>
    </row>
    <row r="945" spans="5:15" ht="15.75" customHeight="1" x14ac:dyDescent="0.2">
      <c r="E945" s="3"/>
      <c r="G945" s="3"/>
      <c r="I945" s="3"/>
      <c r="K945" s="3"/>
      <c r="M945" s="3"/>
      <c r="N945" s="4"/>
      <c r="O945" s="3"/>
    </row>
    <row r="946" spans="5:15" ht="15.75" customHeight="1" x14ac:dyDescent="0.2">
      <c r="E946" s="3"/>
      <c r="G946" s="3"/>
      <c r="I946" s="3"/>
      <c r="K946" s="3"/>
      <c r="M946" s="3"/>
      <c r="N946" s="4"/>
      <c r="O946" s="3"/>
    </row>
    <row r="947" spans="5:15" ht="15.75" customHeight="1" x14ac:dyDescent="0.2">
      <c r="E947" s="3"/>
      <c r="G947" s="3"/>
      <c r="I947" s="3"/>
      <c r="K947" s="3"/>
      <c r="M947" s="3"/>
      <c r="N947" s="4"/>
      <c r="O947" s="3"/>
    </row>
    <row r="948" spans="5:15" ht="15.75" customHeight="1" x14ac:dyDescent="0.2">
      <c r="E948" s="3"/>
      <c r="G948" s="3"/>
      <c r="I948" s="3"/>
      <c r="K948" s="3"/>
      <c r="M948" s="3"/>
      <c r="N948" s="4"/>
      <c r="O948" s="3"/>
    </row>
    <row r="949" spans="5:15" ht="15.75" customHeight="1" x14ac:dyDescent="0.2">
      <c r="E949" s="3"/>
      <c r="G949" s="3"/>
      <c r="I949" s="3"/>
      <c r="K949" s="3"/>
      <c r="M949" s="3"/>
      <c r="N949" s="4"/>
      <c r="O949" s="3"/>
    </row>
    <row r="950" spans="5:15" ht="15.75" customHeight="1" x14ac:dyDescent="0.2">
      <c r="E950" s="3"/>
      <c r="G950" s="3"/>
      <c r="I950" s="3"/>
      <c r="K950" s="3"/>
      <c r="M950" s="3"/>
      <c r="N950" s="4"/>
      <c r="O950" s="3"/>
    </row>
    <row r="951" spans="5:15" ht="15.75" customHeight="1" x14ac:dyDescent="0.2">
      <c r="E951" s="3"/>
      <c r="G951" s="3"/>
      <c r="I951" s="3"/>
      <c r="K951" s="3"/>
      <c r="M951" s="3"/>
      <c r="N951" s="4"/>
      <c r="O951" s="3"/>
    </row>
    <row r="952" spans="5:15" ht="15.75" customHeight="1" x14ac:dyDescent="0.2">
      <c r="E952" s="3"/>
      <c r="G952" s="3"/>
      <c r="I952" s="3"/>
      <c r="K952" s="3"/>
      <c r="M952" s="3"/>
      <c r="N952" s="4"/>
      <c r="O952" s="3"/>
    </row>
    <row r="953" spans="5:15" ht="15.75" customHeight="1" x14ac:dyDescent="0.2">
      <c r="E953" s="3"/>
      <c r="G953" s="3"/>
      <c r="I953" s="3"/>
      <c r="K953" s="3"/>
      <c r="M953" s="3"/>
      <c r="N953" s="4"/>
      <c r="O953" s="3"/>
    </row>
    <row r="954" spans="5:15" ht="15.75" customHeight="1" x14ac:dyDescent="0.2">
      <c r="E954" s="3"/>
      <c r="G954" s="3"/>
      <c r="I954" s="3"/>
      <c r="K954" s="3"/>
      <c r="M954" s="3"/>
      <c r="N954" s="4"/>
      <c r="O954" s="3"/>
    </row>
    <row r="955" spans="5:15" ht="15.75" customHeight="1" x14ac:dyDescent="0.2">
      <c r="E955" s="3"/>
      <c r="G955" s="3"/>
      <c r="I955" s="3"/>
      <c r="K955" s="3"/>
      <c r="M955" s="3"/>
      <c r="N955" s="4"/>
      <c r="O955" s="3"/>
    </row>
    <row r="956" spans="5:15" ht="15.75" customHeight="1" x14ac:dyDescent="0.2">
      <c r="E956" s="3"/>
      <c r="G956" s="3"/>
      <c r="I956" s="3"/>
      <c r="K956" s="3"/>
      <c r="M956" s="3"/>
      <c r="N956" s="4"/>
      <c r="O956" s="3"/>
    </row>
    <row r="957" spans="5:15" ht="15.75" customHeight="1" x14ac:dyDescent="0.2">
      <c r="E957" s="3"/>
      <c r="G957" s="3"/>
      <c r="I957" s="3"/>
      <c r="K957" s="3"/>
      <c r="M957" s="3"/>
      <c r="N957" s="4"/>
      <c r="O957" s="3"/>
    </row>
    <row r="958" spans="5:15" ht="15.75" customHeight="1" x14ac:dyDescent="0.2">
      <c r="E958" s="3"/>
      <c r="G958" s="3"/>
      <c r="I958" s="3"/>
      <c r="K958" s="3"/>
      <c r="M958" s="3"/>
      <c r="N958" s="4"/>
      <c r="O958" s="3"/>
    </row>
    <row r="959" spans="5:15" ht="15.75" customHeight="1" x14ac:dyDescent="0.2">
      <c r="E959" s="3"/>
      <c r="G959" s="3"/>
      <c r="I959" s="3"/>
      <c r="K959" s="3"/>
      <c r="M959" s="3"/>
      <c r="N959" s="4"/>
      <c r="O959" s="3"/>
    </row>
    <row r="960" spans="5:15" ht="15.75" customHeight="1" x14ac:dyDescent="0.2">
      <c r="E960" s="3"/>
      <c r="G960" s="3"/>
      <c r="I960" s="3"/>
      <c r="K960" s="3"/>
      <c r="M960" s="3"/>
      <c r="N960" s="4"/>
      <c r="O960" s="3"/>
    </row>
    <row r="961" spans="5:15" ht="15.75" customHeight="1" x14ac:dyDescent="0.2">
      <c r="E961" s="3"/>
      <c r="G961" s="3"/>
      <c r="I961" s="3"/>
      <c r="K961" s="3"/>
      <c r="M961" s="3"/>
      <c r="N961" s="4"/>
      <c r="O961" s="3"/>
    </row>
    <row r="962" spans="5:15" ht="15.75" customHeight="1" x14ac:dyDescent="0.2">
      <c r="E962" s="3"/>
      <c r="G962" s="3"/>
      <c r="I962" s="3"/>
      <c r="K962" s="3"/>
      <c r="M962" s="3"/>
      <c r="N962" s="4"/>
      <c r="O962" s="3"/>
    </row>
    <row r="963" spans="5:15" ht="15.75" customHeight="1" x14ac:dyDescent="0.2">
      <c r="E963" s="3"/>
      <c r="G963" s="3"/>
      <c r="I963" s="3"/>
      <c r="K963" s="3"/>
      <c r="M963" s="3"/>
      <c r="N963" s="4"/>
      <c r="O963" s="3"/>
    </row>
    <row r="964" spans="5:15" ht="15.75" customHeight="1" x14ac:dyDescent="0.2">
      <c r="E964" s="3"/>
      <c r="G964" s="3"/>
      <c r="I964" s="3"/>
      <c r="K964" s="3"/>
      <c r="M964" s="3"/>
      <c r="N964" s="4"/>
      <c r="O964" s="3"/>
    </row>
    <row r="965" spans="5:15" ht="15.75" customHeight="1" x14ac:dyDescent="0.2">
      <c r="E965" s="3"/>
      <c r="G965" s="3"/>
      <c r="I965" s="3"/>
      <c r="K965" s="3"/>
      <c r="M965" s="3"/>
      <c r="N965" s="4"/>
      <c r="O965" s="3"/>
    </row>
    <row r="966" spans="5:15" ht="15.75" customHeight="1" x14ac:dyDescent="0.2">
      <c r="E966" s="3"/>
      <c r="G966" s="3"/>
      <c r="I966" s="3"/>
      <c r="K966" s="3"/>
      <c r="M966" s="3"/>
      <c r="N966" s="4"/>
      <c r="O966" s="3"/>
    </row>
    <row r="967" spans="5:15" ht="15.75" customHeight="1" x14ac:dyDescent="0.2">
      <c r="E967" s="3"/>
      <c r="G967" s="3"/>
      <c r="I967" s="3"/>
      <c r="K967" s="3"/>
      <c r="M967" s="3"/>
      <c r="N967" s="4"/>
      <c r="O967" s="3"/>
    </row>
    <row r="968" spans="5:15" ht="15.75" customHeight="1" x14ac:dyDescent="0.2">
      <c r="E968" s="3"/>
      <c r="G968" s="3"/>
      <c r="I968" s="3"/>
      <c r="K968" s="3"/>
      <c r="M968" s="3"/>
      <c r="N968" s="4"/>
      <c r="O968" s="3"/>
    </row>
    <row r="969" spans="5:15" ht="15.75" customHeight="1" x14ac:dyDescent="0.2">
      <c r="E969" s="3"/>
      <c r="G969" s="3"/>
      <c r="I969" s="3"/>
      <c r="K969" s="3"/>
      <c r="M969" s="3"/>
      <c r="N969" s="4"/>
      <c r="O969" s="3"/>
    </row>
    <row r="970" spans="5:15" ht="15.75" customHeight="1" x14ac:dyDescent="0.2">
      <c r="E970" s="3"/>
      <c r="G970" s="3"/>
      <c r="I970" s="3"/>
      <c r="K970" s="3"/>
      <c r="M970" s="3"/>
      <c r="N970" s="4"/>
      <c r="O970" s="3"/>
    </row>
    <row r="971" spans="5:15" ht="15.75" customHeight="1" x14ac:dyDescent="0.2">
      <c r="E971" s="3"/>
      <c r="G971" s="3"/>
      <c r="I971" s="3"/>
      <c r="K971" s="3"/>
      <c r="M971" s="3"/>
      <c r="N971" s="4"/>
      <c r="O971" s="3"/>
    </row>
    <row r="972" spans="5:15" ht="15.75" customHeight="1" x14ac:dyDescent="0.2">
      <c r="E972" s="3"/>
      <c r="G972" s="3"/>
      <c r="I972" s="3"/>
      <c r="K972" s="3"/>
      <c r="M972" s="3"/>
      <c r="N972" s="4"/>
      <c r="O972" s="3"/>
    </row>
    <row r="973" spans="5:15" ht="15.75" customHeight="1" x14ac:dyDescent="0.2">
      <c r="E973" s="3"/>
      <c r="G973" s="3"/>
      <c r="I973" s="3"/>
      <c r="K973" s="3"/>
      <c r="M973" s="3"/>
      <c r="N973" s="4"/>
      <c r="O973" s="3"/>
    </row>
    <row r="974" spans="5:15" ht="15.75" customHeight="1" x14ac:dyDescent="0.2">
      <c r="E974" s="3"/>
      <c r="G974" s="3"/>
      <c r="I974" s="3"/>
      <c r="K974" s="3"/>
      <c r="M974" s="3"/>
      <c r="N974" s="4"/>
      <c r="O974" s="3"/>
    </row>
    <row r="975" spans="5:15" ht="15.75" customHeight="1" x14ac:dyDescent="0.2">
      <c r="E975" s="3"/>
      <c r="G975" s="3"/>
      <c r="I975" s="3"/>
      <c r="K975" s="3"/>
      <c r="M975" s="3"/>
      <c r="N975" s="4"/>
      <c r="O975" s="3"/>
    </row>
    <row r="976" spans="5:15" ht="15.75" customHeight="1" x14ac:dyDescent="0.2">
      <c r="E976" s="3"/>
      <c r="G976" s="3"/>
      <c r="I976" s="3"/>
      <c r="K976" s="3"/>
      <c r="M976" s="3"/>
      <c r="N976" s="4"/>
      <c r="O976" s="3"/>
    </row>
    <row r="977" spans="5:15" ht="15.75" customHeight="1" x14ac:dyDescent="0.2">
      <c r="E977" s="3"/>
      <c r="G977" s="3"/>
      <c r="I977" s="3"/>
      <c r="K977" s="3"/>
      <c r="M977" s="3"/>
      <c r="N977" s="4"/>
      <c r="O977" s="3"/>
    </row>
    <row r="978" spans="5:15" ht="15.75" customHeight="1" x14ac:dyDescent="0.2">
      <c r="E978" s="3"/>
      <c r="G978" s="3"/>
      <c r="I978" s="3"/>
      <c r="K978" s="3"/>
      <c r="M978" s="3"/>
      <c r="N978" s="4"/>
      <c r="O978" s="3"/>
    </row>
    <row r="979" spans="5:15" ht="15.75" customHeight="1" x14ac:dyDescent="0.2">
      <c r="E979" s="3"/>
      <c r="G979" s="3"/>
      <c r="I979" s="3"/>
      <c r="K979" s="3"/>
      <c r="M979" s="3"/>
      <c r="N979" s="4"/>
      <c r="O979" s="3"/>
    </row>
    <row r="980" spans="5:15" ht="15.75" customHeight="1" x14ac:dyDescent="0.2">
      <c r="E980" s="3"/>
      <c r="G980" s="3"/>
      <c r="I980" s="3"/>
      <c r="K980" s="3"/>
      <c r="M980" s="3"/>
      <c r="N980" s="4"/>
      <c r="O980" s="3"/>
    </row>
    <row r="981" spans="5:15" ht="15.75" customHeight="1" x14ac:dyDescent="0.2">
      <c r="E981" s="3"/>
      <c r="G981" s="3"/>
      <c r="I981" s="3"/>
      <c r="K981" s="3"/>
      <c r="M981" s="3"/>
      <c r="N981" s="4"/>
      <c r="O981" s="3"/>
    </row>
    <row r="982" spans="5:15" ht="15.75" customHeight="1" x14ac:dyDescent="0.2">
      <c r="E982" s="3"/>
      <c r="G982" s="3"/>
      <c r="I982" s="3"/>
      <c r="K982" s="3"/>
      <c r="M982" s="3"/>
      <c r="N982" s="4"/>
      <c r="O982" s="3"/>
    </row>
    <row r="983" spans="5:15" ht="15.75" customHeight="1" x14ac:dyDescent="0.2">
      <c r="E983" s="3"/>
      <c r="G983" s="3"/>
      <c r="I983" s="3"/>
      <c r="K983" s="3"/>
      <c r="M983" s="3"/>
      <c r="N983" s="4"/>
      <c r="O983" s="3"/>
    </row>
    <row r="984" spans="5:15" ht="15.75" customHeight="1" x14ac:dyDescent="0.2">
      <c r="E984" s="3"/>
      <c r="G984" s="3"/>
      <c r="I984" s="3"/>
      <c r="K984" s="3"/>
      <c r="M984" s="3"/>
      <c r="N984" s="4"/>
      <c r="O984" s="3"/>
    </row>
    <row r="985" spans="5:15" ht="15.75" customHeight="1" x14ac:dyDescent="0.2">
      <c r="E985" s="3"/>
      <c r="G985" s="3"/>
      <c r="I985" s="3"/>
      <c r="K985" s="3"/>
      <c r="M985" s="3"/>
      <c r="N985" s="4"/>
      <c r="O985" s="3"/>
    </row>
    <row r="986" spans="5:15" ht="15.75" customHeight="1" x14ac:dyDescent="0.2">
      <c r="E986" s="3"/>
      <c r="G986" s="3"/>
      <c r="I986" s="3"/>
      <c r="K986" s="3"/>
      <c r="M986" s="3"/>
      <c r="N986" s="4"/>
      <c r="O986" s="3"/>
    </row>
    <row r="987" spans="5:15" ht="15.75" customHeight="1" x14ac:dyDescent="0.2">
      <c r="E987" s="3"/>
      <c r="G987" s="3"/>
      <c r="I987" s="3"/>
      <c r="K987" s="3"/>
      <c r="M987" s="3"/>
      <c r="N987" s="4"/>
      <c r="O987" s="3"/>
    </row>
    <row r="988" spans="5:15" ht="15.75" customHeight="1" x14ac:dyDescent="0.2">
      <c r="E988" s="3"/>
      <c r="G988" s="3"/>
      <c r="I988" s="3"/>
      <c r="K988" s="3"/>
      <c r="M988" s="3"/>
      <c r="N988" s="4"/>
      <c r="O988" s="3"/>
    </row>
    <row r="989" spans="5:15" ht="15.75" customHeight="1" x14ac:dyDescent="0.2">
      <c r="E989" s="3"/>
      <c r="G989" s="3"/>
      <c r="I989" s="3"/>
      <c r="K989" s="3"/>
      <c r="M989" s="3"/>
      <c r="N989" s="4"/>
      <c r="O989" s="3"/>
    </row>
    <row r="990" spans="5:15" ht="15.75" customHeight="1" x14ac:dyDescent="0.2">
      <c r="E990" s="3"/>
      <c r="G990" s="3"/>
      <c r="I990" s="3"/>
      <c r="K990" s="3"/>
      <c r="M990" s="3"/>
      <c r="N990" s="4"/>
      <c r="O990" s="3"/>
    </row>
    <row r="991" spans="5:15" ht="15.75" customHeight="1" x14ac:dyDescent="0.2">
      <c r="E991" s="3"/>
      <c r="G991" s="3"/>
      <c r="I991" s="3"/>
      <c r="K991" s="3"/>
      <c r="M991" s="3"/>
      <c r="N991" s="4"/>
      <c r="O991" s="3"/>
    </row>
    <row r="992" spans="5:15" ht="15.75" customHeight="1" x14ac:dyDescent="0.2">
      <c r="E992" s="3"/>
      <c r="G992" s="3"/>
      <c r="I992" s="3"/>
      <c r="K992" s="3"/>
      <c r="M992" s="3"/>
      <c r="N992" s="4"/>
      <c r="O992" s="3"/>
    </row>
    <row r="993" spans="5:15" ht="15.75" customHeight="1" x14ac:dyDescent="0.2">
      <c r="E993" s="3"/>
      <c r="G993" s="3"/>
      <c r="I993" s="3"/>
      <c r="K993" s="3"/>
      <c r="M993" s="3"/>
      <c r="N993" s="4"/>
      <c r="O993" s="3"/>
    </row>
    <row r="994" spans="5:15" ht="15.75" customHeight="1" x14ac:dyDescent="0.2">
      <c r="E994" s="3"/>
      <c r="G994" s="3"/>
      <c r="I994" s="3"/>
      <c r="K994" s="3"/>
      <c r="M994" s="3"/>
      <c r="N994" s="4"/>
      <c r="O994" s="3"/>
    </row>
    <row r="995" spans="5:15" ht="15.75" customHeight="1" x14ac:dyDescent="0.2">
      <c r="E995" s="3"/>
      <c r="G995" s="3"/>
      <c r="I995" s="3"/>
      <c r="K995" s="3"/>
      <c r="M995" s="3"/>
      <c r="N995" s="4"/>
      <c r="O995" s="3"/>
    </row>
    <row r="996" spans="5:15" ht="15.75" customHeight="1" x14ac:dyDescent="0.2">
      <c r="E996" s="3"/>
      <c r="G996" s="3"/>
      <c r="I996" s="3"/>
      <c r="K996" s="3"/>
      <c r="M996" s="3"/>
      <c r="N996" s="4"/>
      <c r="O996" s="3"/>
    </row>
    <row r="997" spans="5:15" ht="15.75" customHeight="1" x14ac:dyDescent="0.2">
      <c r="E997" s="3"/>
      <c r="G997" s="3"/>
      <c r="I997" s="3"/>
      <c r="K997" s="3"/>
      <c r="M997" s="3"/>
      <c r="N997" s="4"/>
      <c r="O997" s="3"/>
    </row>
    <row r="998" spans="5:15" ht="15.75" customHeight="1" x14ac:dyDescent="0.2">
      <c r="E998" s="3"/>
      <c r="G998" s="3"/>
      <c r="I998" s="3"/>
      <c r="K998" s="3"/>
      <c r="M998" s="3"/>
      <c r="N998" s="4"/>
      <c r="O998" s="3"/>
    </row>
    <row r="999" spans="5:15" ht="15.75" customHeight="1" x14ac:dyDescent="0.2">
      <c r="E999" s="3"/>
      <c r="G999" s="3"/>
      <c r="I999" s="3"/>
      <c r="K999" s="3"/>
      <c r="M999" s="3"/>
      <c r="N999" s="4"/>
      <c r="O999" s="3"/>
    </row>
    <row r="1000" spans="5:15" ht="15.75" customHeight="1" x14ac:dyDescent="0.2">
      <c r="E1000" s="3"/>
      <c r="G1000" s="3"/>
      <c r="I1000" s="3"/>
      <c r="K1000" s="3"/>
      <c r="M1000" s="3"/>
      <c r="N1000" s="4"/>
      <c r="O1000" s="3"/>
    </row>
  </sheetData>
  <autoFilter ref="A1:S328" xr:uid="{00000000-0009-0000-0000-000001000000}"/>
  <hyperlinks>
    <hyperlink ref="L9" r:id="rId1" xr:uid="{00000000-0004-0000-01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D0FD-ADE7-364D-9997-4DDBC44D630F}">
  <dimension ref="A1:K103"/>
  <sheetViews>
    <sheetView tabSelected="1" topLeftCell="A50" zoomScale="87" workbookViewId="0">
      <selection activeCell="F56" sqref="F56"/>
    </sheetView>
  </sheetViews>
  <sheetFormatPr baseColWidth="10" defaultRowHeight="15" x14ac:dyDescent="0.2"/>
  <cols>
    <col min="1" max="1" width="15.5" bestFit="1" customWidth="1"/>
    <col min="2" max="2" width="14.83203125" bestFit="1" customWidth="1"/>
    <col min="3" max="3" width="11.1640625" customWidth="1"/>
    <col min="4" max="5" width="10" bestFit="1" customWidth="1"/>
    <col min="6" max="6" width="17" bestFit="1" customWidth="1"/>
    <col min="7" max="7" width="18.1640625" bestFit="1" customWidth="1"/>
    <col min="8" max="8" width="17" bestFit="1" customWidth="1"/>
    <col min="9" max="9" width="18.1640625" bestFit="1" customWidth="1"/>
    <col min="10" max="10" width="21.1640625" bestFit="1" customWidth="1"/>
    <col min="11" max="11" width="22.5" bestFit="1" customWidth="1"/>
    <col min="12" max="12" width="8" bestFit="1" customWidth="1"/>
    <col min="13" max="13" width="10.5" bestFit="1" customWidth="1"/>
    <col min="14" max="14" width="10" bestFit="1" customWidth="1"/>
  </cols>
  <sheetData>
    <row r="1" spans="1:5" x14ac:dyDescent="0.2">
      <c r="A1" s="12" t="s">
        <v>778</v>
      </c>
    </row>
    <row r="3" spans="1:5" x14ac:dyDescent="0.2">
      <c r="A3" s="10" t="s">
        <v>777</v>
      </c>
      <c r="B3" s="10" t="s">
        <v>776</v>
      </c>
    </row>
    <row r="4" spans="1:5" x14ac:dyDescent="0.2">
      <c r="A4" s="10" t="s">
        <v>770</v>
      </c>
      <c r="B4" t="s">
        <v>23</v>
      </c>
      <c r="C4" t="s">
        <v>22</v>
      </c>
      <c r="D4" t="s">
        <v>775</v>
      </c>
    </row>
    <row r="5" spans="1:5" x14ac:dyDescent="0.2">
      <c r="A5" s="11" t="s">
        <v>771</v>
      </c>
      <c r="B5">
        <v>73</v>
      </c>
      <c r="C5">
        <v>83</v>
      </c>
      <c r="D5">
        <v>156</v>
      </c>
    </row>
    <row r="6" spans="1:5" x14ac:dyDescent="0.2">
      <c r="A6" s="11" t="s">
        <v>772</v>
      </c>
      <c r="B6">
        <v>74</v>
      </c>
      <c r="C6">
        <v>67</v>
      </c>
      <c r="D6">
        <v>141</v>
      </c>
    </row>
    <row r="7" spans="1:5" x14ac:dyDescent="0.2">
      <c r="A7" s="11" t="s">
        <v>767</v>
      </c>
      <c r="B7">
        <v>13</v>
      </c>
      <c r="C7">
        <v>15</v>
      </c>
      <c r="D7">
        <v>28</v>
      </c>
    </row>
    <row r="8" spans="1:5" x14ac:dyDescent="0.2">
      <c r="A8" s="11" t="s">
        <v>773</v>
      </c>
      <c r="B8">
        <v>1</v>
      </c>
      <c r="C8">
        <v>1</v>
      </c>
      <c r="D8">
        <v>2</v>
      </c>
    </row>
    <row r="9" spans="1:5" x14ac:dyDescent="0.2">
      <c r="A9" s="11" t="s">
        <v>775</v>
      </c>
      <c r="B9">
        <v>161</v>
      </c>
      <c r="C9">
        <v>166</v>
      </c>
      <c r="D9">
        <v>327</v>
      </c>
    </row>
    <row r="12" spans="1:5" x14ac:dyDescent="0.2">
      <c r="A12" s="16" t="s">
        <v>781</v>
      </c>
    </row>
    <row r="14" spans="1:5" x14ac:dyDescent="0.2">
      <c r="A14" s="10" t="s">
        <v>780</v>
      </c>
      <c r="B14" s="10" t="s">
        <v>776</v>
      </c>
    </row>
    <row r="15" spans="1:5" x14ac:dyDescent="0.2">
      <c r="A15" s="10" t="s">
        <v>770</v>
      </c>
      <c r="B15" t="s">
        <v>31</v>
      </c>
      <c r="C15" t="s">
        <v>27</v>
      </c>
      <c r="D15" t="s">
        <v>774</v>
      </c>
      <c r="E15" t="s">
        <v>775</v>
      </c>
    </row>
    <row r="16" spans="1:5" x14ac:dyDescent="0.2">
      <c r="A16" s="11" t="s">
        <v>764</v>
      </c>
      <c r="B16">
        <v>67</v>
      </c>
      <c r="C16">
        <v>93</v>
      </c>
      <c r="E16">
        <v>160</v>
      </c>
    </row>
    <row r="17" spans="1:11" x14ac:dyDescent="0.2">
      <c r="A17" s="11" t="s">
        <v>779</v>
      </c>
      <c r="B17">
        <v>61</v>
      </c>
      <c r="C17">
        <v>106</v>
      </c>
      <c r="E17">
        <v>167</v>
      </c>
    </row>
    <row r="18" spans="1:11" x14ac:dyDescent="0.2">
      <c r="A18" s="11" t="s">
        <v>774</v>
      </c>
    </row>
    <row r="19" spans="1:11" x14ac:dyDescent="0.2">
      <c r="A19" s="11" t="s">
        <v>775</v>
      </c>
      <c r="B19">
        <v>128</v>
      </c>
      <c r="C19">
        <v>199</v>
      </c>
      <c r="E19">
        <v>327</v>
      </c>
    </row>
    <row r="22" spans="1:11" x14ac:dyDescent="0.2">
      <c r="A22" s="16" t="s">
        <v>786</v>
      </c>
    </row>
    <row r="24" spans="1:11" x14ac:dyDescent="0.2">
      <c r="B24" s="10" t="s">
        <v>776</v>
      </c>
    </row>
    <row r="25" spans="1:11" x14ac:dyDescent="0.2">
      <c r="B25" s="13" t="s">
        <v>94</v>
      </c>
      <c r="C25" s="13"/>
      <c r="D25" t="s">
        <v>26</v>
      </c>
      <c r="F25" t="s">
        <v>48</v>
      </c>
      <c r="H25" t="s">
        <v>82</v>
      </c>
      <c r="J25" s="14" t="s">
        <v>783</v>
      </c>
      <c r="K25" s="14" t="s">
        <v>784</v>
      </c>
    </row>
    <row r="26" spans="1:11" x14ac:dyDescent="0.2">
      <c r="A26" s="10" t="s">
        <v>770</v>
      </c>
      <c r="B26" t="s">
        <v>782</v>
      </c>
      <c r="C26" t="s">
        <v>785</v>
      </c>
      <c r="D26" t="s">
        <v>782</v>
      </c>
      <c r="E26" t="s">
        <v>785</v>
      </c>
      <c r="F26" s="15" t="s">
        <v>782</v>
      </c>
      <c r="G26" s="15" t="s">
        <v>785</v>
      </c>
      <c r="H26" t="s">
        <v>782</v>
      </c>
      <c r="I26" t="s">
        <v>785</v>
      </c>
      <c r="J26" s="14"/>
      <c r="K26" s="14"/>
    </row>
    <row r="27" spans="1:11" x14ac:dyDescent="0.2">
      <c r="A27" s="11">
        <v>10000</v>
      </c>
      <c r="B27" s="13">
        <v>7</v>
      </c>
      <c r="C27" s="13">
        <v>70000</v>
      </c>
      <c r="F27" s="15"/>
      <c r="G27" s="15"/>
      <c r="H27">
        <v>4</v>
      </c>
      <c r="I27">
        <v>40000</v>
      </c>
      <c r="J27" s="14">
        <v>11</v>
      </c>
      <c r="K27" s="14">
        <v>110000</v>
      </c>
    </row>
    <row r="28" spans="1:11" x14ac:dyDescent="0.2">
      <c r="A28" s="11">
        <v>20000</v>
      </c>
      <c r="B28" s="13">
        <v>2</v>
      </c>
      <c r="C28" s="13">
        <v>40000</v>
      </c>
      <c r="F28" s="15"/>
      <c r="G28" s="15"/>
      <c r="H28">
        <v>7</v>
      </c>
      <c r="I28">
        <v>140000</v>
      </c>
      <c r="J28" s="14">
        <v>9</v>
      </c>
      <c r="K28" s="14">
        <v>180000</v>
      </c>
    </row>
    <row r="29" spans="1:11" x14ac:dyDescent="0.2">
      <c r="A29" s="11">
        <v>30000</v>
      </c>
      <c r="B29" s="13">
        <v>18</v>
      </c>
      <c r="C29" s="13">
        <v>540000</v>
      </c>
      <c r="F29" s="15">
        <v>1</v>
      </c>
      <c r="G29" s="15">
        <v>30000</v>
      </c>
      <c r="H29">
        <v>37</v>
      </c>
      <c r="I29">
        <v>1110000</v>
      </c>
      <c r="J29" s="14">
        <v>56</v>
      </c>
      <c r="K29" s="14">
        <v>1680000</v>
      </c>
    </row>
    <row r="30" spans="1:11" x14ac:dyDescent="0.2">
      <c r="A30" s="11">
        <v>40000</v>
      </c>
      <c r="B30" s="13">
        <v>5</v>
      </c>
      <c r="C30" s="13">
        <v>200000</v>
      </c>
      <c r="D30">
        <v>6</v>
      </c>
      <c r="E30">
        <v>240000</v>
      </c>
      <c r="F30" s="15">
        <v>1</v>
      </c>
      <c r="G30" s="15">
        <v>40000</v>
      </c>
      <c r="H30">
        <v>53</v>
      </c>
      <c r="I30">
        <v>2120000</v>
      </c>
      <c r="J30" s="14">
        <v>65</v>
      </c>
      <c r="K30" s="14">
        <v>2600000</v>
      </c>
    </row>
    <row r="31" spans="1:11" x14ac:dyDescent="0.2">
      <c r="A31" s="11">
        <v>50000</v>
      </c>
      <c r="B31" s="13"/>
      <c r="C31" s="13"/>
      <c r="D31">
        <v>1</v>
      </c>
      <c r="E31">
        <v>50000</v>
      </c>
      <c r="F31" s="15"/>
      <c r="G31" s="15"/>
      <c r="J31" s="14">
        <v>1</v>
      </c>
      <c r="K31" s="14">
        <v>50000</v>
      </c>
    </row>
    <row r="32" spans="1:11" x14ac:dyDescent="0.2">
      <c r="A32" s="11">
        <v>60000</v>
      </c>
      <c r="B32" s="13"/>
      <c r="C32" s="13"/>
      <c r="D32">
        <v>2</v>
      </c>
      <c r="E32">
        <v>120000</v>
      </c>
      <c r="F32" s="15">
        <v>29</v>
      </c>
      <c r="G32" s="15">
        <v>1740000</v>
      </c>
      <c r="H32">
        <v>22</v>
      </c>
      <c r="I32">
        <v>1320000</v>
      </c>
      <c r="J32" s="14">
        <v>53</v>
      </c>
      <c r="K32" s="14">
        <v>3180000</v>
      </c>
    </row>
    <row r="33" spans="1:11" x14ac:dyDescent="0.2">
      <c r="A33" s="11">
        <v>70000</v>
      </c>
      <c r="B33" s="13"/>
      <c r="C33" s="13"/>
      <c r="D33">
        <v>1</v>
      </c>
      <c r="E33">
        <v>70000</v>
      </c>
      <c r="F33" s="15">
        <v>30</v>
      </c>
      <c r="G33" s="15">
        <v>2100000</v>
      </c>
      <c r="H33">
        <v>21</v>
      </c>
      <c r="I33">
        <v>1470000</v>
      </c>
      <c r="J33" s="14">
        <v>52</v>
      </c>
      <c r="K33" s="14">
        <v>3640000</v>
      </c>
    </row>
    <row r="34" spans="1:11" x14ac:dyDescent="0.2">
      <c r="A34" s="11">
        <v>80000</v>
      </c>
      <c r="B34" s="13"/>
      <c r="C34" s="13"/>
      <c r="D34">
        <v>8</v>
      </c>
      <c r="E34">
        <v>640000</v>
      </c>
      <c r="F34" s="15">
        <v>11</v>
      </c>
      <c r="G34" s="15">
        <v>880000</v>
      </c>
      <c r="H34">
        <v>17</v>
      </c>
      <c r="I34">
        <v>1360000</v>
      </c>
      <c r="J34" s="14">
        <v>36</v>
      </c>
      <c r="K34" s="14">
        <v>2880000</v>
      </c>
    </row>
    <row r="35" spans="1:11" x14ac:dyDescent="0.2">
      <c r="A35" s="11">
        <v>90000</v>
      </c>
      <c r="B35" s="13"/>
      <c r="C35" s="13"/>
      <c r="D35">
        <v>3</v>
      </c>
      <c r="E35">
        <v>270000</v>
      </c>
      <c r="F35" s="15">
        <v>11</v>
      </c>
      <c r="G35" s="15">
        <v>990000</v>
      </c>
      <c r="J35" s="14">
        <v>14</v>
      </c>
      <c r="K35" s="14">
        <v>1260000</v>
      </c>
    </row>
    <row r="36" spans="1:11" x14ac:dyDescent="0.2">
      <c r="A36" s="11">
        <v>100000</v>
      </c>
      <c r="B36" s="13"/>
      <c r="C36" s="13"/>
      <c r="D36">
        <v>9</v>
      </c>
      <c r="E36">
        <v>900000</v>
      </c>
      <c r="F36" s="15">
        <v>3</v>
      </c>
      <c r="G36" s="15">
        <v>300000</v>
      </c>
      <c r="J36" s="14">
        <v>12</v>
      </c>
      <c r="K36" s="14">
        <v>1200000</v>
      </c>
    </row>
    <row r="37" spans="1:11" x14ac:dyDescent="0.2">
      <c r="A37" s="11">
        <v>110000</v>
      </c>
      <c r="B37" s="13"/>
      <c r="C37" s="13"/>
      <c r="D37">
        <v>7</v>
      </c>
      <c r="E37">
        <v>770000</v>
      </c>
      <c r="F37" s="15"/>
      <c r="G37" s="15"/>
      <c r="J37" s="14">
        <v>7</v>
      </c>
      <c r="K37" s="14">
        <v>770000</v>
      </c>
    </row>
    <row r="38" spans="1:11" x14ac:dyDescent="0.2">
      <c r="A38" s="11">
        <v>120000</v>
      </c>
      <c r="B38" s="13"/>
      <c r="C38" s="13"/>
      <c r="D38">
        <v>2</v>
      </c>
      <c r="E38">
        <v>240000</v>
      </c>
      <c r="F38" s="15"/>
      <c r="G38" s="15"/>
      <c r="J38" s="14">
        <v>2</v>
      </c>
      <c r="K38" s="14">
        <v>240000</v>
      </c>
    </row>
    <row r="39" spans="1:11" x14ac:dyDescent="0.2">
      <c r="A39" s="11">
        <v>130000</v>
      </c>
      <c r="B39" s="13"/>
      <c r="C39" s="13"/>
      <c r="D39">
        <v>7</v>
      </c>
      <c r="E39">
        <v>910000</v>
      </c>
      <c r="F39" s="15"/>
      <c r="G39" s="15"/>
      <c r="J39" s="14">
        <v>7</v>
      </c>
      <c r="K39" s="14">
        <v>910000</v>
      </c>
    </row>
    <row r="40" spans="1:11" x14ac:dyDescent="0.2">
      <c r="A40" s="11">
        <v>160000</v>
      </c>
      <c r="B40" s="13"/>
      <c r="C40" s="13"/>
      <c r="D40">
        <v>1</v>
      </c>
      <c r="E40">
        <v>160000</v>
      </c>
      <c r="F40" s="15"/>
      <c r="G40" s="15"/>
      <c r="J40" s="14">
        <v>1</v>
      </c>
      <c r="K40" s="14">
        <v>160000</v>
      </c>
    </row>
    <row r="41" spans="1:11" x14ac:dyDescent="0.2">
      <c r="A41" s="11">
        <v>170000</v>
      </c>
      <c r="B41" s="13"/>
      <c r="C41" s="13"/>
      <c r="D41">
        <v>1</v>
      </c>
      <c r="E41">
        <v>170000</v>
      </c>
      <c r="F41" s="15"/>
      <c r="G41" s="15"/>
      <c r="J41" s="14">
        <v>1</v>
      </c>
      <c r="K41" s="14">
        <v>170000</v>
      </c>
    </row>
    <row r="42" spans="1:11" x14ac:dyDescent="0.2">
      <c r="A42" s="11" t="s">
        <v>775</v>
      </c>
      <c r="B42" s="13">
        <v>32</v>
      </c>
      <c r="C42" s="13">
        <v>850000</v>
      </c>
      <c r="D42">
        <v>48</v>
      </c>
      <c r="E42">
        <v>4540000</v>
      </c>
      <c r="F42" s="15">
        <v>86</v>
      </c>
      <c r="G42" s="15">
        <v>6080000</v>
      </c>
      <c r="H42">
        <v>161</v>
      </c>
      <c r="I42">
        <v>7560000</v>
      </c>
      <c r="J42" s="14">
        <v>327</v>
      </c>
      <c r="K42" s="14">
        <v>19030000</v>
      </c>
    </row>
    <row r="45" spans="1:11" x14ac:dyDescent="0.2">
      <c r="A45" s="16" t="s">
        <v>787</v>
      </c>
    </row>
    <row r="47" spans="1:11" x14ac:dyDescent="0.2">
      <c r="A47" s="10" t="s">
        <v>770</v>
      </c>
      <c r="B47" t="s">
        <v>832</v>
      </c>
    </row>
    <row r="48" spans="1:11" x14ac:dyDescent="0.2">
      <c r="A48" s="11" t="s">
        <v>764</v>
      </c>
      <c r="B48">
        <v>160</v>
      </c>
    </row>
    <row r="49" spans="1:4" x14ac:dyDescent="0.2">
      <c r="A49" s="11" t="s">
        <v>779</v>
      </c>
      <c r="B49">
        <v>167</v>
      </c>
    </row>
    <row r="50" spans="1:4" x14ac:dyDescent="0.2">
      <c r="A50" s="11" t="s">
        <v>774</v>
      </c>
    </row>
    <row r="51" spans="1:4" x14ac:dyDescent="0.2">
      <c r="A51" s="11" t="s">
        <v>775</v>
      </c>
      <c r="B51">
        <v>327</v>
      </c>
    </row>
    <row r="55" spans="1:4" x14ac:dyDescent="0.2">
      <c r="A55" s="16" t="s">
        <v>833</v>
      </c>
    </row>
    <row r="57" spans="1:4" x14ac:dyDescent="0.2">
      <c r="A57" s="10" t="s">
        <v>832</v>
      </c>
      <c r="B57" s="10" t="s">
        <v>776</v>
      </c>
    </row>
    <row r="58" spans="1:4" x14ac:dyDescent="0.2">
      <c r="A58" s="10" t="s">
        <v>770</v>
      </c>
      <c r="B58" t="s">
        <v>764</v>
      </c>
      <c r="C58" t="s">
        <v>779</v>
      </c>
      <c r="D58" t="s">
        <v>775</v>
      </c>
    </row>
    <row r="59" spans="1:4" x14ac:dyDescent="0.2">
      <c r="A59" s="11" t="s">
        <v>788</v>
      </c>
      <c r="B59">
        <v>1</v>
      </c>
      <c r="D59">
        <v>1</v>
      </c>
    </row>
    <row r="60" spans="1:4" x14ac:dyDescent="0.2">
      <c r="A60" s="11" t="s">
        <v>789</v>
      </c>
      <c r="C60">
        <v>1</v>
      </c>
      <c r="D60">
        <v>1</v>
      </c>
    </row>
    <row r="61" spans="1:4" x14ac:dyDescent="0.2">
      <c r="A61" s="11" t="s">
        <v>790</v>
      </c>
      <c r="B61">
        <v>1</v>
      </c>
      <c r="D61">
        <v>1</v>
      </c>
    </row>
    <row r="62" spans="1:4" x14ac:dyDescent="0.2">
      <c r="A62" s="11" t="s">
        <v>791</v>
      </c>
      <c r="B62">
        <v>1</v>
      </c>
      <c r="D62">
        <v>1</v>
      </c>
    </row>
    <row r="63" spans="1:4" x14ac:dyDescent="0.2">
      <c r="A63" s="11" t="s">
        <v>792</v>
      </c>
      <c r="B63">
        <v>1</v>
      </c>
      <c r="D63">
        <v>1</v>
      </c>
    </row>
    <row r="64" spans="1:4" x14ac:dyDescent="0.2">
      <c r="A64" s="11" t="s">
        <v>793</v>
      </c>
      <c r="B64">
        <v>1</v>
      </c>
      <c r="C64">
        <v>1</v>
      </c>
      <c r="D64">
        <v>2</v>
      </c>
    </row>
    <row r="65" spans="1:4" x14ac:dyDescent="0.2">
      <c r="A65" s="11" t="s">
        <v>794</v>
      </c>
      <c r="C65">
        <v>3</v>
      </c>
      <c r="D65">
        <v>3</v>
      </c>
    </row>
    <row r="66" spans="1:4" x14ac:dyDescent="0.2">
      <c r="A66" s="11" t="s">
        <v>795</v>
      </c>
      <c r="B66">
        <v>1</v>
      </c>
      <c r="C66">
        <v>1</v>
      </c>
      <c r="D66">
        <v>2</v>
      </c>
    </row>
    <row r="67" spans="1:4" x14ac:dyDescent="0.2">
      <c r="A67" s="11" t="s">
        <v>796</v>
      </c>
      <c r="C67">
        <v>1</v>
      </c>
      <c r="D67">
        <v>1</v>
      </c>
    </row>
    <row r="68" spans="1:4" x14ac:dyDescent="0.2">
      <c r="A68" s="11" t="s">
        <v>797</v>
      </c>
      <c r="B68">
        <v>1</v>
      </c>
      <c r="C68">
        <v>2</v>
      </c>
      <c r="D68">
        <v>3</v>
      </c>
    </row>
    <row r="69" spans="1:4" x14ac:dyDescent="0.2">
      <c r="A69" s="11" t="s">
        <v>798</v>
      </c>
      <c r="B69">
        <v>1</v>
      </c>
      <c r="C69">
        <v>1</v>
      </c>
      <c r="D69">
        <v>2</v>
      </c>
    </row>
    <row r="70" spans="1:4" x14ac:dyDescent="0.2">
      <c r="A70" s="11" t="s">
        <v>799</v>
      </c>
      <c r="B70">
        <v>3</v>
      </c>
      <c r="C70">
        <v>4</v>
      </c>
      <c r="D70">
        <v>7</v>
      </c>
    </row>
    <row r="71" spans="1:4" x14ac:dyDescent="0.2">
      <c r="A71" s="11" t="s">
        <v>800</v>
      </c>
      <c r="B71">
        <v>5</v>
      </c>
      <c r="C71">
        <v>4</v>
      </c>
      <c r="D71">
        <v>9</v>
      </c>
    </row>
    <row r="72" spans="1:4" x14ac:dyDescent="0.2">
      <c r="A72" s="11" t="s">
        <v>801</v>
      </c>
      <c r="B72">
        <v>3</v>
      </c>
      <c r="C72">
        <v>1</v>
      </c>
      <c r="D72">
        <v>4</v>
      </c>
    </row>
    <row r="73" spans="1:4" x14ac:dyDescent="0.2">
      <c r="A73" s="11" t="s">
        <v>802</v>
      </c>
      <c r="B73">
        <v>1</v>
      </c>
      <c r="C73">
        <v>2</v>
      </c>
      <c r="D73">
        <v>3</v>
      </c>
    </row>
    <row r="74" spans="1:4" x14ac:dyDescent="0.2">
      <c r="A74" s="11" t="s">
        <v>803</v>
      </c>
      <c r="B74">
        <v>4</v>
      </c>
      <c r="C74">
        <v>4</v>
      </c>
      <c r="D74">
        <v>8</v>
      </c>
    </row>
    <row r="75" spans="1:4" x14ac:dyDescent="0.2">
      <c r="A75" s="11" t="s">
        <v>804</v>
      </c>
      <c r="B75">
        <v>2</v>
      </c>
      <c r="C75">
        <v>4</v>
      </c>
      <c r="D75">
        <v>6</v>
      </c>
    </row>
    <row r="76" spans="1:4" x14ac:dyDescent="0.2">
      <c r="A76" s="11" t="s">
        <v>805</v>
      </c>
      <c r="B76">
        <v>5</v>
      </c>
      <c r="C76">
        <v>3</v>
      </c>
      <c r="D76">
        <v>8</v>
      </c>
    </row>
    <row r="77" spans="1:4" x14ac:dyDescent="0.2">
      <c r="A77" s="11" t="s">
        <v>806</v>
      </c>
      <c r="B77">
        <v>2</v>
      </c>
      <c r="C77">
        <v>3</v>
      </c>
      <c r="D77">
        <v>5</v>
      </c>
    </row>
    <row r="78" spans="1:4" x14ac:dyDescent="0.2">
      <c r="A78" s="11" t="s">
        <v>807</v>
      </c>
      <c r="B78">
        <v>1</v>
      </c>
      <c r="C78">
        <v>4</v>
      </c>
      <c r="D78">
        <v>5</v>
      </c>
    </row>
    <row r="79" spans="1:4" x14ac:dyDescent="0.2">
      <c r="A79" s="11" t="s">
        <v>808</v>
      </c>
      <c r="B79">
        <v>4</v>
      </c>
      <c r="C79">
        <v>3</v>
      </c>
      <c r="D79">
        <v>7</v>
      </c>
    </row>
    <row r="80" spans="1:4" x14ac:dyDescent="0.2">
      <c r="A80" s="11" t="s">
        <v>809</v>
      </c>
      <c r="B80">
        <v>4</v>
      </c>
      <c r="C80">
        <v>2</v>
      </c>
      <c r="D80">
        <v>6</v>
      </c>
    </row>
    <row r="81" spans="1:4" x14ac:dyDescent="0.2">
      <c r="A81" s="11" t="s">
        <v>810</v>
      </c>
      <c r="B81">
        <v>9</v>
      </c>
      <c r="C81">
        <v>17</v>
      </c>
      <c r="D81">
        <v>26</v>
      </c>
    </row>
    <row r="82" spans="1:4" x14ac:dyDescent="0.2">
      <c r="A82" s="11" t="s">
        <v>811</v>
      </c>
      <c r="C82">
        <v>1</v>
      </c>
      <c r="D82">
        <v>1</v>
      </c>
    </row>
    <row r="83" spans="1:4" x14ac:dyDescent="0.2">
      <c r="A83" s="11" t="s">
        <v>812</v>
      </c>
      <c r="B83">
        <v>4</v>
      </c>
      <c r="C83">
        <v>6</v>
      </c>
      <c r="D83">
        <v>10</v>
      </c>
    </row>
    <row r="84" spans="1:4" x14ac:dyDescent="0.2">
      <c r="A84" s="11" t="s">
        <v>813</v>
      </c>
      <c r="B84">
        <v>4</v>
      </c>
      <c r="C84">
        <v>3</v>
      </c>
      <c r="D84">
        <v>7</v>
      </c>
    </row>
    <row r="85" spans="1:4" x14ac:dyDescent="0.2">
      <c r="A85" s="11" t="s">
        <v>814</v>
      </c>
      <c r="B85">
        <v>4</v>
      </c>
      <c r="C85">
        <v>2</v>
      </c>
      <c r="D85">
        <v>6</v>
      </c>
    </row>
    <row r="86" spans="1:4" x14ac:dyDescent="0.2">
      <c r="A86" s="11" t="s">
        <v>815</v>
      </c>
      <c r="B86">
        <v>7</v>
      </c>
      <c r="C86">
        <v>8</v>
      </c>
      <c r="D86">
        <v>15</v>
      </c>
    </row>
    <row r="87" spans="1:4" x14ac:dyDescent="0.2">
      <c r="A87" s="11" t="s">
        <v>816</v>
      </c>
      <c r="B87">
        <v>1</v>
      </c>
      <c r="C87">
        <v>5</v>
      </c>
      <c r="D87">
        <v>6</v>
      </c>
    </row>
    <row r="88" spans="1:4" x14ac:dyDescent="0.2">
      <c r="A88" s="11" t="s">
        <v>817</v>
      </c>
      <c r="B88">
        <v>8</v>
      </c>
      <c r="C88">
        <v>8</v>
      </c>
      <c r="D88">
        <v>16</v>
      </c>
    </row>
    <row r="89" spans="1:4" x14ac:dyDescent="0.2">
      <c r="A89" s="11" t="s">
        <v>818</v>
      </c>
      <c r="B89">
        <v>10</v>
      </c>
      <c r="C89">
        <v>5</v>
      </c>
      <c r="D89">
        <v>15</v>
      </c>
    </row>
    <row r="90" spans="1:4" x14ac:dyDescent="0.2">
      <c r="A90" s="11" t="s">
        <v>819</v>
      </c>
      <c r="B90">
        <v>7</v>
      </c>
      <c r="C90">
        <v>5</v>
      </c>
      <c r="D90">
        <v>12</v>
      </c>
    </row>
    <row r="91" spans="1:4" x14ac:dyDescent="0.2">
      <c r="A91" s="11" t="s">
        <v>820</v>
      </c>
      <c r="B91">
        <v>5</v>
      </c>
      <c r="C91">
        <v>4</v>
      </c>
      <c r="D91">
        <v>9</v>
      </c>
    </row>
    <row r="92" spans="1:4" x14ac:dyDescent="0.2">
      <c r="A92" s="11" t="s">
        <v>821</v>
      </c>
      <c r="B92">
        <v>6</v>
      </c>
      <c r="C92">
        <v>6</v>
      </c>
      <c r="D92">
        <v>12</v>
      </c>
    </row>
    <row r="93" spans="1:4" x14ac:dyDescent="0.2">
      <c r="A93" s="11" t="s">
        <v>822</v>
      </c>
      <c r="C93">
        <v>1</v>
      </c>
      <c r="D93">
        <v>1</v>
      </c>
    </row>
    <row r="94" spans="1:4" x14ac:dyDescent="0.2">
      <c r="A94" s="11" t="s">
        <v>823</v>
      </c>
      <c r="B94">
        <v>2</v>
      </c>
      <c r="D94">
        <v>2</v>
      </c>
    </row>
    <row r="95" spans="1:4" x14ac:dyDescent="0.2">
      <c r="A95" s="11" t="s">
        <v>824</v>
      </c>
      <c r="B95">
        <v>6</v>
      </c>
      <c r="C95">
        <v>1</v>
      </c>
      <c r="D95">
        <v>7</v>
      </c>
    </row>
    <row r="96" spans="1:4" x14ac:dyDescent="0.2">
      <c r="A96" s="11" t="s">
        <v>825</v>
      </c>
      <c r="B96">
        <v>7</v>
      </c>
      <c r="C96">
        <v>13</v>
      </c>
      <c r="D96">
        <v>20</v>
      </c>
    </row>
    <row r="97" spans="1:4" x14ac:dyDescent="0.2">
      <c r="A97" s="11" t="s">
        <v>826</v>
      </c>
      <c r="B97">
        <v>9</v>
      </c>
      <c r="C97">
        <v>11</v>
      </c>
      <c r="D97">
        <v>20</v>
      </c>
    </row>
    <row r="98" spans="1:4" x14ac:dyDescent="0.2">
      <c r="A98" s="11" t="s">
        <v>827</v>
      </c>
      <c r="B98">
        <v>7</v>
      </c>
      <c r="C98">
        <v>6</v>
      </c>
      <c r="D98">
        <v>13</v>
      </c>
    </row>
    <row r="99" spans="1:4" x14ac:dyDescent="0.2">
      <c r="A99" s="11" t="s">
        <v>828</v>
      </c>
      <c r="B99">
        <v>6</v>
      </c>
      <c r="C99">
        <v>8</v>
      </c>
      <c r="D99">
        <v>14</v>
      </c>
    </row>
    <row r="100" spans="1:4" x14ac:dyDescent="0.2">
      <c r="A100" s="11" t="s">
        <v>829</v>
      </c>
      <c r="B100">
        <v>6</v>
      </c>
      <c r="C100">
        <v>6</v>
      </c>
      <c r="D100">
        <v>12</v>
      </c>
    </row>
    <row r="101" spans="1:4" x14ac:dyDescent="0.2">
      <c r="A101" s="11" t="s">
        <v>830</v>
      </c>
      <c r="B101">
        <v>3</v>
      </c>
      <c r="C101">
        <v>5</v>
      </c>
      <c r="D101">
        <v>8</v>
      </c>
    </row>
    <row r="102" spans="1:4" x14ac:dyDescent="0.2">
      <c r="A102" s="11" t="s">
        <v>831</v>
      </c>
      <c r="B102">
        <v>7</v>
      </c>
      <c r="C102">
        <v>2</v>
      </c>
      <c r="D102">
        <v>9</v>
      </c>
    </row>
    <row r="103" spans="1:4" x14ac:dyDescent="0.2">
      <c r="A103" s="11" t="s">
        <v>775</v>
      </c>
      <c r="B103">
        <v>160</v>
      </c>
      <c r="C103">
        <v>167</v>
      </c>
      <c r="D103">
        <v>327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2EBA-1939-0E41-90DD-55DFFCE2D553}">
  <dimension ref="A1:K41"/>
  <sheetViews>
    <sheetView topLeftCell="A33" zoomScale="50" zoomScaleNormal="61" workbookViewId="0">
      <selection activeCell="O67" sqref="O67"/>
    </sheetView>
  </sheetViews>
  <sheetFormatPr baseColWidth="10" defaultRowHeight="15" x14ac:dyDescent="0.2"/>
  <cols>
    <col min="1" max="24" width="10.83203125" style="18"/>
    <col min="25" max="25" width="12.1640625" style="18" bestFit="1" customWidth="1"/>
    <col min="26" max="26" width="15.83203125" style="18" bestFit="1" customWidth="1"/>
    <col min="27" max="16384" width="10.83203125" style="18"/>
  </cols>
  <sheetData>
    <row r="1" spans="1:1" x14ac:dyDescent="0.2">
      <c r="A1" s="17"/>
    </row>
    <row r="37" spans="10:11" x14ac:dyDescent="0.2">
      <c r="J37" s="10" t="s">
        <v>770</v>
      </c>
      <c r="K37" t="s">
        <v>832</v>
      </c>
    </row>
    <row r="38" spans="10:11" x14ac:dyDescent="0.2">
      <c r="J38" s="11" t="s">
        <v>764</v>
      </c>
      <c r="K38">
        <v>160</v>
      </c>
    </row>
    <row r="39" spans="10:11" x14ac:dyDescent="0.2">
      <c r="J39" s="11" t="s">
        <v>779</v>
      </c>
      <c r="K39">
        <v>167</v>
      </c>
    </row>
    <row r="40" spans="10:11" x14ac:dyDescent="0.2">
      <c r="J40" s="11" t="s">
        <v>775</v>
      </c>
      <c r="K40">
        <v>327</v>
      </c>
    </row>
    <row r="41" spans="10:11" x14ac:dyDescent="0.2">
      <c r="J41"/>
      <c r="K41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sqref="A1:B1"/>
    </sheetView>
  </sheetViews>
  <sheetFormatPr baseColWidth="10" defaultColWidth="14.5" defaultRowHeight="15" customHeight="1" x14ac:dyDescent="0.2"/>
  <cols>
    <col min="1" max="1" width="20.5" customWidth="1"/>
    <col min="2" max="2" width="16.5" customWidth="1"/>
    <col min="3" max="3" width="8.6640625" customWidth="1"/>
    <col min="4" max="4" width="16.1640625" customWidth="1"/>
    <col min="5" max="6" width="8.6640625" customWidth="1"/>
  </cols>
  <sheetData>
    <row r="1" spans="1:4" ht="14.25" customHeight="1" x14ac:dyDescent="0.2">
      <c r="A1" s="19" t="s">
        <v>761</v>
      </c>
      <c r="B1" s="20"/>
    </row>
    <row r="2" spans="1:4" ht="14.25" customHeight="1" x14ac:dyDescent="0.2">
      <c r="A2" s="9" t="s">
        <v>762</v>
      </c>
      <c r="B2" s="1">
        <f>COUNTA(Customers!A2:A328)</f>
        <v>327</v>
      </c>
    </row>
    <row r="3" spans="1:4" ht="14.25" customHeight="1" x14ac:dyDescent="0.2">
      <c r="A3" s="9">
        <v>1956</v>
      </c>
      <c r="B3" s="1">
        <f>COUNTIF(Customers!G2:G328,"1956")</f>
        <v>6</v>
      </c>
    </row>
    <row r="4" spans="1:4" ht="14.25" customHeight="1" x14ac:dyDescent="0.2">
      <c r="A4" s="9" t="s">
        <v>763</v>
      </c>
      <c r="B4" s="1">
        <f>COUNTIF(Customers!I2:I328,"single")</f>
        <v>166</v>
      </c>
    </row>
    <row r="5" spans="1:4" ht="14.25" customHeight="1" x14ac:dyDescent="0.2">
      <c r="A5" s="9" t="s">
        <v>764</v>
      </c>
      <c r="B5" s="1">
        <f>COUNTIF(Customers!K2:K328,"female")</f>
        <v>160</v>
      </c>
    </row>
    <row r="6" spans="1:4" ht="14.25" customHeight="1" x14ac:dyDescent="0.2">
      <c r="A6" s="9" t="s">
        <v>765</v>
      </c>
      <c r="B6" s="4">
        <f>SUM(Customers!N2:N328)</f>
        <v>19030000</v>
      </c>
      <c r="D6" s="4"/>
    </row>
    <row r="7" spans="1:4" ht="14.25" customHeight="1" x14ac:dyDescent="0.2">
      <c r="A7" s="9" t="s">
        <v>766</v>
      </c>
      <c r="B7" s="4">
        <f>AVERAGE(Customers!N2:N32)</f>
        <v>56451.612903225803</v>
      </c>
    </row>
    <row r="8" spans="1:4" ht="14.25" customHeight="1" x14ac:dyDescent="0.2">
      <c r="A8" s="9" t="s">
        <v>767</v>
      </c>
      <c r="B8" s="1">
        <f>COUNTIF(Customers!O2:O328,"rich")</f>
        <v>28</v>
      </c>
    </row>
    <row r="9" spans="1:4" ht="14.25" customHeight="1" x14ac:dyDescent="0.2">
      <c r="A9" s="9" t="s">
        <v>86</v>
      </c>
      <c r="B9" s="1">
        <f>COUNTIF(Customers!Q2:Q328,"High School")</f>
        <v>98</v>
      </c>
    </row>
    <row r="10" spans="1:4" ht="14.25" customHeight="1" x14ac:dyDescent="0.2">
      <c r="A10" s="9" t="s">
        <v>768</v>
      </c>
      <c r="B10" s="1">
        <f>COUNTIF(Customers!Q2:Q328,"Bachelors")</f>
        <v>78</v>
      </c>
    </row>
    <row r="11" spans="1:4" ht="14.25" customHeight="1" x14ac:dyDescent="0.2">
      <c r="A11" s="9" t="s">
        <v>25</v>
      </c>
      <c r="B11" s="1">
        <f>COUNTIF(Customers!Q2:Q328,"Graduate Degree")</f>
        <v>26</v>
      </c>
    </row>
    <row r="12" spans="1:4" ht="14.25" customHeight="1" x14ac:dyDescent="0.2">
      <c r="A12" s="9" t="s">
        <v>769</v>
      </c>
      <c r="B12" s="1">
        <f>COUNTIFS(Customers!R2:R328,"Professional",Customers!N2:N328,"&gt;90000")</f>
        <v>3</v>
      </c>
    </row>
    <row r="13" spans="1:4" ht="14.25" customHeight="1" x14ac:dyDescent="0.2">
      <c r="A13" s="9" t="s">
        <v>94</v>
      </c>
      <c r="B13" s="1">
        <f>COUNTIF(Customers!R2:R328,"Clerical")</f>
        <v>32</v>
      </c>
    </row>
    <row r="14" spans="1:4" ht="14.25" customHeight="1" x14ac:dyDescent="0.2"/>
    <row r="15" spans="1:4" ht="14.25" customHeight="1" x14ac:dyDescent="0.2"/>
    <row r="16" spans="1:4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B1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Customers!$R$2:$R$328</xm:f>
          </x14:formula1>
          <xm:sqref>A13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Sheet1</vt:lpstr>
      <vt:lpstr>Dashboard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ADESHOLA VICTOR AKEHINMI</cp:lastModifiedBy>
  <dcterms:created xsi:type="dcterms:W3CDTF">2025-11-10T15:23:03Z</dcterms:created>
  <dcterms:modified xsi:type="dcterms:W3CDTF">2025-11-11T23:09:46Z</dcterms:modified>
</cp:coreProperties>
</file>